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0 Research\Hurrican mathew Report\"/>
    </mc:Choice>
  </mc:AlternateContent>
  <xr:revisionPtr revIDLastSave="0" documentId="13_ncr:1_{12D80FA0-C729-45DA-A9C1-F5D906836721}" xr6:coauthVersionLast="47" xr6:coauthVersionMax="47" xr10:uidLastSave="{00000000-0000-0000-0000-000000000000}"/>
  <bookViews>
    <workbookView xWindow="-120" yWindow="-120" windowWidth="29040" windowHeight="15720" activeTab="4" xr2:uid="{5F04E4F3-C331-4F9D-87D9-E09795A45B62}"/>
  </bookViews>
  <sheets>
    <sheet name="TAR" sheetId="2" r:id="rId1"/>
    <sheet name="Lit Fishing Creek" sheetId="3" r:id="rId2"/>
    <sheet name="RockyM" sheetId="4" r:id="rId3"/>
    <sheet name="Tarboro " sheetId="5" r:id="rId4"/>
    <sheet name="Greenville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1" i="2" l="1"/>
  <c r="I11" i="2"/>
  <c r="E38" i="6" l="1"/>
  <c r="E37" i="6"/>
  <c r="N32" i="6" s="1"/>
  <c r="H35" i="6"/>
  <c r="E35" i="6"/>
  <c r="E34" i="6"/>
  <c r="H32" i="6" s="1"/>
  <c r="L33" i="6"/>
  <c r="K33" i="6"/>
  <c r="I33" i="6"/>
  <c r="G33" i="6"/>
  <c r="L32" i="6"/>
  <c r="K32" i="6"/>
  <c r="I32" i="6"/>
  <c r="G32" i="6"/>
  <c r="L31" i="6"/>
  <c r="K31" i="6"/>
  <c r="I31" i="6"/>
  <c r="H31" i="6"/>
  <c r="G31" i="6"/>
  <c r="L30" i="6"/>
  <c r="K30" i="6"/>
  <c r="I30" i="6"/>
  <c r="G30" i="6"/>
  <c r="L29" i="6"/>
  <c r="K29" i="6"/>
  <c r="I29" i="6"/>
  <c r="G29" i="6"/>
  <c r="L28" i="6"/>
  <c r="K28" i="6"/>
  <c r="I28" i="6"/>
  <c r="H28" i="6"/>
  <c r="G28" i="6"/>
  <c r="L27" i="6"/>
  <c r="K27" i="6"/>
  <c r="I27" i="6"/>
  <c r="G27" i="6"/>
  <c r="L26" i="6"/>
  <c r="K26" i="6"/>
  <c r="I26" i="6"/>
  <c r="H26" i="6"/>
  <c r="G26" i="6"/>
  <c r="L25" i="6"/>
  <c r="K25" i="6"/>
  <c r="I25" i="6"/>
  <c r="H25" i="6"/>
  <c r="G25" i="6"/>
  <c r="L24" i="6"/>
  <c r="K24" i="6"/>
  <c r="I24" i="6"/>
  <c r="G24" i="6"/>
  <c r="L23" i="6"/>
  <c r="K23" i="6"/>
  <c r="I23" i="6"/>
  <c r="H23" i="6"/>
  <c r="G23" i="6"/>
  <c r="L22" i="6"/>
  <c r="K22" i="6"/>
  <c r="I22" i="6"/>
  <c r="H22" i="6"/>
  <c r="G22" i="6"/>
  <c r="L21" i="6"/>
  <c r="K21" i="6"/>
  <c r="I21" i="6"/>
  <c r="H21" i="6"/>
  <c r="G21" i="6"/>
  <c r="L20" i="6"/>
  <c r="K20" i="6"/>
  <c r="I20" i="6"/>
  <c r="H20" i="6"/>
  <c r="G20" i="6"/>
  <c r="L19" i="6"/>
  <c r="K19" i="6"/>
  <c r="I19" i="6"/>
  <c r="G19" i="6"/>
  <c r="L18" i="6"/>
  <c r="K18" i="6"/>
  <c r="I18" i="6"/>
  <c r="H18" i="6"/>
  <c r="G18" i="6"/>
  <c r="L17" i="6"/>
  <c r="K17" i="6"/>
  <c r="I17" i="6"/>
  <c r="G17" i="6"/>
  <c r="L16" i="6"/>
  <c r="K16" i="6"/>
  <c r="I16" i="6"/>
  <c r="H16" i="6"/>
  <c r="G16" i="6"/>
  <c r="L15" i="6"/>
  <c r="K15" i="6"/>
  <c r="I15" i="6"/>
  <c r="G15" i="6"/>
  <c r="L14" i="6"/>
  <c r="K14" i="6"/>
  <c r="I14" i="6"/>
  <c r="G14" i="6"/>
  <c r="L13" i="6"/>
  <c r="K13" i="6"/>
  <c r="I13" i="6"/>
  <c r="H13" i="6"/>
  <c r="G13" i="6"/>
  <c r="L12" i="6"/>
  <c r="K12" i="6"/>
  <c r="I12" i="6"/>
  <c r="H12" i="6"/>
  <c r="G12" i="6"/>
  <c r="L11" i="6"/>
  <c r="K11" i="6"/>
  <c r="I11" i="6"/>
  <c r="H11" i="6"/>
  <c r="G11" i="6"/>
  <c r="L10" i="6"/>
  <c r="K10" i="6"/>
  <c r="I10" i="6"/>
  <c r="G10" i="6"/>
  <c r="L9" i="6"/>
  <c r="K9" i="6"/>
  <c r="I9" i="6"/>
  <c r="G9" i="6"/>
  <c r="L8" i="6"/>
  <c r="K8" i="6"/>
  <c r="I8" i="6"/>
  <c r="H8" i="6"/>
  <c r="G8" i="6"/>
  <c r="L7" i="6"/>
  <c r="K7" i="6"/>
  <c r="I7" i="6"/>
  <c r="H7" i="6"/>
  <c r="G7" i="6"/>
  <c r="L6" i="6"/>
  <c r="K6" i="6"/>
  <c r="I6" i="6"/>
  <c r="H6" i="6"/>
  <c r="G6" i="6"/>
  <c r="L5" i="6"/>
  <c r="K5" i="6"/>
  <c r="I5" i="6"/>
  <c r="G5" i="6"/>
  <c r="L4" i="6"/>
  <c r="K4" i="6"/>
  <c r="I4" i="6"/>
  <c r="H4" i="6"/>
  <c r="G4" i="6"/>
  <c r="L3" i="6"/>
  <c r="K3" i="6"/>
  <c r="I3" i="6"/>
  <c r="H3" i="6"/>
  <c r="G3" i="6"/>
  <c r="I4" i="4"/>
  <c r="I34" i="4" s="1"/>
  <c r="J4" i="4"/>
  <c r="I5" i="4"/>
  <c r="J5" i="4"/>
  <c r="I6" i="4"/>
  <c r="J6" i="4"/>
  <c r="I7" i="4"/>
  <c r="J7" i="4"/>
  <c r="I8" i="4"/>
  <c r="J8" i="4"/>
  <c r="I9" i="4"/>
  <c r="J9" i="4"/>
  <c r="I10" i="4"/>
  <c r="J10" i="4"/>
  <c r="I11" i="4"/>
  <c r="J11" i="4"/>
  <c r="I12" i="4"/>
  <c r="J12" i="4"/>
  <c r="I13" i="4"/>
  <c r="J13" i="4"/>
  <c r="I14" i="4"/>
  <c r="J14" i="4"/>
  <c r="I15" i="4"/>
  <c r="J15" i="4"/>
  <c r="I16" i="4"/>
  <c r="J16" i="4"/>
  <c r="I17" i="4"/>
  <c r="J17" i="4"/>
  <c r="I18" i="4"/>
  <c r="J18" i="4"/>
  <c r="I19" i="4"/>
  <c r="J19" i="4"/>
  <c r="I20" i="4"/>
  <c r="J20" i="4"/>
  <c r="I21" i="4"/>
  <c r="J21" i="4"/>
  <c r="I22" i="4"/>
  <c r="J22" i="4"/>
  <c r="I23" i="4"/>
  <c r="J23" i="4"/>
  <c r="I24" i="4"/>
  <c r="J24" i="4"/>
  <c r="I25" i="4"/>
  <c r="J25" i="4"/>
  <c r="I26" i="4"/>
  <c r="J26" i="4"/>
  <c r="I27" i="4"/>
  <c r="J27" i="4"/>
  <c r="I28" i="4"/>
  <c r="J28" i="4"/>
  <c r="I29" i="4"/>
  <c r="J29" i="4"/>
  <c r="I30" i="4"/>
  <c r="J30" i="4"/>
  <c r="I31" i="4"/>
  <c r="J31" i="4"/>
  <c r="I32" i="4"/>
  <c r="J32" i="4"/>
  <c r="I33" i="4"/>
  <c r="J33" i="4"/>
  <c r="J3" i="4"/>
  <c r="I3" i="4"/>
  <c r="L33" i="5"/>
  <c r="K33" i="5"/>
  <c r="L32" i="5"/>
  <c r="K32" i="5"/>
  <c r="L31" i="5"/>
  <c r="K31" i="5"/>
  <c r="L30" i="5"/>
  <c r="K30" i="5"/>
  <c r="L29" i="5"/>
  <c r="K29" i="5"/>
  <c r="L28" i="5"/>
  <c r="K28" i="5"/>
  <c r="L27" i="5"/>
  <c r="K27" i="5"/>
  <c r="L26" i="5"/>
  <c r="K26" i="5"/>
  <c r="L25" i="5"/>
  <c r="K25" i="5"/>
  <c r="L24" i="5"/>
  <c r="K24" i="5"/>
  <c r="L23" i="5"/>
  <c r="K23" i="5"/>
  <c r="L22" i="5"/>
  <c r="K22" i="5"/>
  <c r="L21" i="5"/>
  <c r="K21" i="5"/>
  <c r="L20" i="5"/>
  <c r="K20" i="5"/>
  <c r="L19" i="5"/>
  <c r="K19" i="5"/>
  <c r="L18" i="5"/>
  <c r="K18" i="5"/>
  <c r="L17" i="5"/>
  <c r="K17" i="5"/>
  <c r="L16" i="5"/>
  <c r="K16" i="5"/>
  <c r="L15" i="5"/>
  <c r="K15" i="5"/>
  <c r="L14" i="5"/>
  <c r="K14" i="5"/>
  <c r="L13" i="5"/>
  <c r="K13" i="5"/>
  <c r="L12" i="5"/>
  <c r="K12" i="5"/>
  <c r="L11" i="5"/>
  <c r="K11" i="5"/>
  <c r="L10" i="5"/>
  <c r="K10" i="5"/>
  <c r="L9" i="5"/>
  <c r="K9" i="5"/>
  <c r="L8" i="5"/>
  <c r="K8" i="5"/>
  <c r="L7" i="5"/>
  <c r="K7" i="5"/>
  <c r="L6" i="5"/>
  <c r="K6" i="5"/>
  <c r="L5" i="5"/>
  <c r="K5" i="5"/>
  <c r="L4" i="5"/>
  <c r="K4" i="5"/>
  <c r="L3" i="5"/>
  <c r="L34" i="5" s="1"/>
  <c r="K3" i="5"/>
  <c r="K34" i="5" s="1"/>
  <c r="I34" i="3"/>
  <c r="H34" i="3"/>
  <c r="I33" i="3"/>
  <c r="H33" i="3"/>
  <c r="I32" i="3"/>
  <c r="H32" i="3"/>
  <c r="I31" i="3"/>
  <c r="H31" i="3"/>
  <c r="I30" i="3"/>
  <c r="H30" i="3"/>
  <c r="I29" i="3"/>
  <c r="H29" i="3"/>
  <c r="I28" i="3"/>
  <c r="H28" i="3"/>
  <c r="I27" i="3"/>
  <c r="H27" i="3"/>
  <c r="I26" i="3"/>
  <c r="H26" i="3"/>
  <c r="I25" i="3"/>
  <c r="H25" i="3"/>
  <c r="I24" i="3"/>
  <c r="H24" i="3"/>
  <c r="I23" i="3"/>
  <c r="H23" i="3"/>
  <c r="I22" i="3"/>
  <c r="H22" i="3"/>
  <c r="I21" i="3"/>
  <c r="H21" i="3"/>
  <c r="I20" i="3"/>
  <c r="H20" i="3"/>
  <c r="I19" i="3"/>
  <c r="H19" i="3"/>
  <c r="I18" i="3"/>
  <c r="H18" i="3"/>
  <c r="I17" i="3"/>
  <c r="H17" i="3"/>
  <c r="I16" i="3"/>
  <c r="H16" i="3"/>
  <c r="I15" i="3"/>
  <c r="H15" i="3"/>
  <c r="I14" i="3"/>
  <c r="H14" i="3"/>
  <c r="I13" i="3"/>
  <c r="H13" i="3"/>
  <c r="I12" i="3"/>
  <c r="H12" i="3"/>
  <c r="I11" i="3"/>
  <c r="H11" i="3"/>
  <c r="I10" i="3"/>
  <c r="H10" i="3"/>
  <c r="I9" i="3"/>
  <c r="H9" i="3"/>
  <c r="I8" i="3"/>
  <c r="H8" i="3"/>
  <c r="I7" i="3"/>
  <c r="H7" i="3"/>
  <c r="I6" i="3"/>
  <c r="H6" i="3"/>
  <c r="I5" i="3"/>
  <c r="H5" i="3"/>
  <c r="I4" i="3"/>
  <c r="I35" i="3" s="1"/>
  <c r="H4" i="3"/>
  <c r="H35" i="3" s="1"/>
  <c r="J4" i="2"/>
  <c r="K4" i="2"/>
  <c r="J5" i="2"/>
  <c r="K5" i="2"/>
  <c r="J6" i="2"/>
  <c r="K6" i="2"/>
  <c r="J7" i="2"/>
  <c r="K7" i="2"/>
  <c r="J8" i="2"/>
  <c r="K8" i="2"/>
  <c r="J9" i="2"/>
  <c r="K9" i="2"/>
  <c r="J10" i="2"/>
  <c r="K10" i="2"/>
  <c r="K11" i="2"/>
  <c r="J12" i="2"/>
  <c r="J34" i="2" s="1"/>
  <c r="K12" i="2"/>
  <c r="J13" i="2"/>
  <c r="K13" i="2"/>
  <c r="J14" i="2"/>
  <c r="K14" i="2"/>
  <c r="J15" i="2"/>
  <c r="K15" i="2"/>
  <c r="J16" i="2"/>
  <c r="K16" i="2"/>
  <c r="J17" i="2"/>
  <c r="K17" i="2"/>
  <c r="J18" i="2"/>
  <c r="K18" i="2"/>
  <c r="J19" i="2"/>
  <c r="K19" i="2"/>
  <c r="J20" i="2"/>
  <c r="K20" i="2"/>
  <c r="J21" i="2"/>
  <c r="K21" i="2"/>
  <c r="J22" i="2"/>
  <c r="K22" i="2"/>
  <c r="J23" i="2"/>
  <c r="K23" i="2"/>
  <c r="J24" i="2"/>
  <c r="K24" i="2"/>
  <c r="J25" i="2"/>
  <c r="K25" i="2"/>
  <c r="J26" i="2"/>
  <c r="K26" i="2"/>
  <c r="J27" i="2"/>
  <c r="K27" i="2"/>
  <c r="J28" i="2"/>
  <c r="K28" i="2"/>
  <c r="J29" i="2"/>
  <c r="K29" i="2"/>
  <c r="J30" i="2"/>
  <c r="K30" i="2"/>
  <c r="J31" i="2"/>
  <c r="K31" i="2"/>
  <c r="J32" i="2"/>
  <c r="K32" i="2"/>
  <c r="J33" i="2"/>
  <c r="K33" i="2"/>
  <c r="K3" i="2"/>
  <c r="J3" i="2"/>
  <c r="N33" i="5"/>
  <c r="N32" i="5"/>
  <c r="N31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I4" i="2"/>
  <c r="I5" i="2"/>
  <c r="I6" i="2"/>
  <c r="I7" i="2"/>
  <c r="I8" i="2"/>
  <c r="I9" i="2"/>
  <c r="I10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" i="2"/>
  <c r="H17" i="6" l="1"/>
  <c r="E39" i="6"/>
  <c r="L34" i="6"/>
  <c r="H9" i="6"/>
  <c r="H14" i="6"/>
  <c r="K34" i="6"/>
  <c r="H19" i="6"/>
  <c r="I34" i="6"/>
  <c r="E41" i="6" s="1"/>
  <c r="H24" i="6"/>
  <c r="H29" i="6"/>
  <c r="H5" i="6"/>
  <c r="H10" i="6"/>
  <c r="H15" i="6"/>
  <c r="H33" i="6"/>
  <c r="G34" i="6"/>
  <c r="H30" i="6"/>
  <c r="H27" i="6"/>
  <c r="H34" i="6" s="1"/>
  <c r="H36" i="6" s="1"/>
  <c r="H37" i="6" s="1"/>
  <c r="J34" i="4"/>
  <c r="K34" i="2"/>
  <c r="I34" i="2"/>
  <c r="E40" i="6" l="1"/>
  <c r="N33" i="6" s="1"/>
  <c r="E36" i="6"/>
  <c r="N31" i="6" s="1"/>
  <c r="G36" i="2"/>
  <c r="F34" i="2"/>
  <c r="B41" i="3"/>
  <c r="G35" i="2"/>
  <c r="E36" i="3"/>
  <c r="E37" i="3" s="1"/>
  <c r="E38" i="3" s="1"/>
  <c r="G35" i="4"/>
  <c r="H35" i="5"/>
  <c r="B40" i="3"/>
  <c r="D39" i="2"/>
  <c r="C42" i="3"/>
  <c r="G35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4" i="3"/>
  <c r="E38" i="5"/>
  <c r="E37" i="5"/>
  <c r="D41" i="2"/>
  <c r="G37" i="2" l="1"/>
  <c r="D40" i="2" s="1"/>
  <c r="E34" i="2"/>
  <c r="F33" i="2"/>
  <c r="H33" i="2"/>
  <c r="H34" i="2"/>
  <c r="E35" i="5"/>
  <c r="E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" i="5"/>
  <c r="G3" i="5"/>
  <c r="D38" i="4"/>
  <c r="D37" i="4"/>
  <c r="D35" i="4"/>
  <c r="E34" i="4"/>
  <c r="D34" i="4"/>
  <c r="G25" i="4" s="1"/>
  <c r="H33" i="4"/>
  <c r="F33" i="4"/>
  <c r="H32" i="4"/>
  <c r="F32" i="4"/>
  <c r="H31" i="4"/>
  <c r="F31" i="4"/>
  <c r="H30" i="4"/>
  <c r="G30" i="4"/>
  <c r="F30" i="4"/>
  <c r="H29" i="4"/>
  <c r="G29" i="4"/>
  <c r="F29" i="4"/>
  <c r="H28" i="4"/>
  <c r="F28" i="4"/>
  <c r="H27" i="4"/>
  <c r="F27" i="4"/>
  <c r="H26" i="4"/>
  <c r="F26" i="4"/>
  <c r="H25" i="4"/>
  <c r="F25" i="4"/>
  <c r="H24" i="4"/>
  <c r="F24" i="4"/>
  <c r="H23" i="4"/>
  <c r="G23" i="4"/>
  <c r="F23" i="4"/>
  <c r="H22" i="4"/>
  <c r="G22" i="4"/>
  <c r="F22" i="4"/>
  <c r="H21" i="4"/>
  <c r="F21" i="4"/>
  <c r="H20" i="4"/>
  <c r="F20" i="4"/>
  <c r="H19" i="4"/>
  <c r="F19" i="4"/>
  <c r="H18" i="4"/>
  <c r="F18" i="4"/>
  <c r="H17" i="4"/>
  <c r="F17" i="4"/>
  <c r="H16" i="4"/>
  <c r="F16" i="4"/>
  <c r="H15" i="4"/>
  <c r="F15" i="4"/>
  <c r="H14" i="4"/>
  <c r="F14" i="4"/>
  <c r="H13" i="4"/>
  <c r="F13" i="4"/>
  <c r="H12" i="4"/>
  <c r="G12" i="4"/>
  <c r="F12" i="4"/>
  <c r="H11" i="4"/>
  <c r="G11" i="4"/>
  <c r="F11" i="4"/>
  <c r="H10" i="4"/>
  <c r="G10" i="4"/>
  <c r="F10" i="4"/>
  <c r="H9" i="4"/>
  <c r="F9" i="4"/>
  <c r="H8" i="4"/>
  <c r="F8" i="4"/>
  <c r="H7" i="4"/>
  <c r="F7" i="4"/>
  <c r="H6" i="4"/>
  <c r="F6" i="4"/>
  <c r="H5" i="4"/>
  <c r="F5" i="4"/>
  <c r="H4" i="4"/>
  <c r="G4" i="4"/>
  <c r="F4" i="4"/>
  <c r="H3" i="4"/>
  <c r="F3" i="4"/>
  <c r="B39" i="3"/>
  <c r="B38" i="3"/>
  <c r="B36" i="3"/>
  <c r="C35" i="3"/>
  <c r="B35" i="3"/>
  <c r="E4" i="3" s="1"/>
  <c r="F34" i="3"/>
  <c r="E34" i="3"/>
  <c r="D34" i="3"/>
  <c r="F33" i="3"/>
  <c r="E33" i="3"/>
  <c r="D33" i="3"/>
  <c r="F32" i="3"/>
  <c r="E32" i="3"/>
  <c r="D32" i="3"/>
  <c r="F31" i="3"/>
  <c r="E31" i="3"/>
  <c r="D31" i="3"/>
  <c r="F30" i="3"/>
  <c r="E30" i="3"/>
  <c r="D30" i="3"/>
  <c r="F29" i="3"/>
  <c r="E29" i="3"/>
  <c r="D29" i="3"/>
  <c r="F28" i="3"/>
  <c r="E28" i="3"/>
  <c r="D28" i="3"/>
  <c r="F27" i="3"/>
  <c r="E27" i="3"/>
  <c r="D27" i="3"/>
  <c r="F26" i="3"/>
  <c r="E26" i="3"/>
  <c r="D26" i="3"/>
  <c r="F25" i="3"/>
  <c r="E25" i="3"/>
  <c r="D25" i="3"/>
  <c r="F24" i="3"/>
  <c r="E24" i="3"/>
  <c r="D24" i="3"/>
  <c r="F23" i="3"/>
  <c r="E23" i="3"/>
  <c r="D23" i="3"/>
  <c r="F22" i="3"/>
  <c r="E22" i="3"/>
  <c r="D22" i="3"/>
  <c r="F21" i="3"/>
  <c r="E21" i="3"/>
  <c r="D21" i="3"/>
  <c r="F20" i="3"/>
  <c r="E20" i="3"/>
  <c r="D20" i="3"/>
  <c r="F19" i="3"/>
  <c r="E19" i="3"/>
  <c r="D19" i="3"/>
  <c r="F18" i="3"/>
  <c r="E18" i="3"/>
  <c r="D18" i="3"/>
  <c r="F17" i="3"/>
  <c r="E17" i="3"/>
  <c r="D17" i="3"/>
  <c r="F16" i="3"/>
  <c r="E16" i="3"/>
  <c r="D16" i="3"/>
  <c r="F15" i="3"/>
  <c r="E15" i="3"/>
  <c r="D15" i="3"/>
  <c r="F14" i="3"/>
  <c r="E14" i="3"/>
  <c r="D14" i="3"/>
  <c r="F13" i="3"/>
  <c r="E13" i="3"/>
  <c r="D13" i="3"/>
  <c r="F12" i="3"/>
  <c r="E12" i="3"/>
  <c r="D12" i="3"/>
  <c r="F11" i="3"/>
  <c r="E11" i="3"/>
  <c r="D11" i="3"/>
  <c r="F10" i="3"/>
  <c r="E10" i="3"/>
  <c r="D10" i="3"/>
  <c r="F9" i="3"/>
  <c r="E9" i="3"/>
  <c r="D9" i="3"/>
  <c r="D35" i="3" s="1"/>
  <c r="F8" i="3"/>
  <c r="E8" i="3"/>
  <c r="D8" i="3"/>
  <c r="F7" i="3"/>
  <c r="E7" i="3"/>
  <c r="D7" i="3"/>
  <c r="F6" i="3"/>
  <c r="E6" i="3"/>
  <c r="D6" i="3"/>
  <c r="F5" i="3"/>
  <c r="E5" i="3"/>
  <c r="D5" i="3"/>
  <c r="F4" i="3"/>
  <c r="F35" i="3" s="1"/>
  <c r="B42" i="3" s="1"/>
  <c r="D4" i="3"/>
  <c r="D38" i="2"/>
  <c r="D37" i="2"/>
  <c r="D35" i="2"/>
  <c r="D34" i="2"/>
  <c r="G32" i="2" s="1"/>
  <c r="H32" i="2"/>
  <c r="F32" i="2"/>
  <c r="H31" i="2"/>
  <c r="F31" i="2"/>
  <c r="H30" i="2"/>
  <c r="F30" i="2"/>
  <c r="H29" i="2"/>
  <c r="F29" i="2"/>
  <c r="H28" i="2"/>
  <c r="G28" i="2"/>
  <c r="F28" i="2"/>
  <c r="H27" i="2"/>
  <c r="G27" i="2"/>
  <c r="F27" i="2"/>
  <c r="H26" i="2"/>
  <c r="G26" i="2"/>
  <c r="F26" i="2"/>
  <c r="H25" i="2"/>
  <c r="G25" i="2"/>
  <c r="F25" i="2"/>
  <c r="H24" i="2"/>
  <c r="F24" i="2"/>
  <c r="H23" i="2"/>
  <c r="F23" i="2"/>
  <c r="H22" i="2"/>
  <c r="F22" i="2"/>
  <c r="H21" i="2"/>
  <c r="F21" i="2"/>
  <c r="H20" i="2"/>
  <c r="G20" i="2"/>
  <c r="F20" i="2"/>
  <c r="H19" i="2"/>
  <c r="G19" i="2"/>
  <c r="F19" i="2"/>
  <c r="H18" i="2"/>
  <c r="G18" i="2"/>
  <c r="F18" i="2"/>
  <c r="H17" i="2"/>
  <c r="G17" i="2"/>
  <c r="F17" i="2"/>
  <c r="H16" i="2"/>
  <c r="F16" i="2"/>
  <c r="H15" i="2"/>
  <c r="F15" i="2"/>
  <c r="H14" i="2"/>
  <c r="F14" i="2"/>
  <c r="H13" i="2"/>
  <c r="F13" i="2"/>
  <c r="H12" i="2"/>
  <c r="G12" i="2"/>
  <c r="F12" i="2"/>
  <c r="H11" i="2"/>
  <c r="G11" i="2"/>
  <c r="F11" i="2"/>
  <c r="H10" i="2"/>
  <c r="G10" i="2"/>
  <c r="F10" i="2"/>
  <c r="H9" i="2"/>
  <c r="G9" i="2"/>
  <c r="F9" i="2"/>
  <c r="H8" i="2"/>
  <c r="F8" i="2"/>
  <c r="H7" i="2"/>
  <c r="F7" i="2"/>
  <c r="H6" i="2"/>
  <c r="F6" i="2"/>
  <c r="H5" i="2"/>
  <c r="F5" i="2"/>
  <c r="H4" i="2"/>
  <c r="G4" i="2"/>
  <c r="F4" i="2"/>
  <c r="H3" i="2"/>
  <c r="G3" i="2"/>
  <c r="F3" i="2"/>
  <c r="D39" i="4" l="1"/>
  <c r="E39" i="5"/>
  <c r="F34" i="4"/>
  <c r="G34" i="5"/>
  <c r="H3" i="5"/>
  <c r="I34" i="5"/>
  <c r="E41" i="5" s="1"/>
  <c r="H34" i="4"/>
  <c r="D41" i="4" s="1"/>
  <c r="G5" i="4"/>
  <c r="G24" i="4"/>
  <c r="G6" i="4"/>
  <c r="G16" i="4"/>
  <c r="G17" i="4"/>
  <c r="G18" i="4"/>
  <c r="G28" i="4"/>
  <c r="E35" i="3"/>
  <c r="B37" i="3"/>
  <c r="G5" i="2"/>
  <c r="G21" i="2"/>
  <c r="G7" i="4"/>
  <c r="G19" i="4"/>
  <c r="G31" i="4"/>
  <c r="G6" i="2"/>
  <c r="G14" i="2"/>
  <c r="G22" i="2"/>
  <c r="G30" i="2"/>
  <c r="G8" i="4"/>
  <c r="G14" i="4"/>
  <c r="G20" i="4"/>
  <c r="G26" i="4"/>
  <c r="G32" i="4"/>
  <c r="G13" i="2"/>
  <c r="G13" i="4"/>
  <c r="G7" i="2"/>
  <c r="G15" i="2"/>
  <c r="G23" i="2"/>
  <c r="G31" i="2"/>
  <c r="G3" i="4"/>
  <c r="G9" i="4"/>
  <c r="G15" i="4"/>
  <c r="G21" i="4"/>
  <c r="G27" i="4"/>
  <c r="G33" i="4"/>
  <c r="G29" i="2"/>
  <c r="G8" i="2"/>
  <c r="G16" i="2"/>
  <c r="G24" i="2"/>
  <c r="H34" i="5" l="1"/>
  <c r="G34" i="4"/>
  <c r="G34" i="2"/>
  <c r="D36" i="2" s="1"/>
  <c r="E36" i="5" l="1"/>
  <c r="H36" i="5"/>
  <c r="H37" i="5" s="1"/>
  <c r="E40" i="5" s="1"/>
  <c r="D36" i="4"/>
  <c r="G36" i="4"/>
  <c r="G37" i="4" s="1"/>
  <c r="D40" i="4" s="1"/>
</calcChain>
</file>

<file path=xl/sharedStrings.xml><?xml version="1.0" encoding="utf-8"?>
<sst xmlns="http://schemas.openxmlformats.org/spreadsheetml/2006/main" count="157" uniqueCount="53">
  <si>
    <t>TAR RIVER NEAR TAR RIVER, NC</t>
  </si>
  <si>
    <t>date</t>
  </si>
  <si>
    <t>USGS</t>
  </si>
  <si>
    <t>Model</t>
  </si>
  <si>
    <t>Oi-Sim)^2</t>
  </si>
  <si>
    <t>(Oi-Omean)^2</t>
  </si>
  <si>
    <t>Sim-Obs</t>
  </si>
  <si>
    <t>1-Oct</t>
  </si>
  <si>
    <t>2-Oct</t>
  </si>
  <si>
    <t>3-Oct</t>
  </si>
  <si>
    <t>4-Oct</t>
  </si>
  <si>
    <t>5-Oct</t>
  </si>
  <si>
    <t>6-Oct</t>
  </si>
  <si>
    <t>7-Oct</t>
  </si>
  <si>
    <t>8-Oct</t>
  </si>
  <si>
    <t>9-Oct</t>
  </si>
  <si>
    <t>10-Oct</t>
  </si>
  <si>
    <t>11-Oct</t>
  </si>
  <si>
    <t>12-Oct</t>
  </si>
  <si>
    <t>13-Oct</t>
  </si>
  <si>
    <t>14-Oct</t>
  </si>
  <si>
    <t>15-Oct</t>
  </si>
  <si>
    <t>16-Oct</t>
  </si>
  <si>
    <t>17-Oct</t>
  </si>
  <si>
    <t>18-Oct</t>
  </si>
  <si>
    <t>19-Oct</t>
  </si>
  <si>
    <t>20-Oct</t>
  </si>
  <si>
    <t>21-Oct</t>
  </si>
  <si>
    <t>22-Oct</t>
  </si>
  <si>
    <t>23-Oct</t>
  </si>
  <si>
    <t>24-Oct</t>
  </si>
  <si>
    <t>25-Oct</t>
  </si>
  <si>
    <t>26-Oct</t>
  </si>
  <si>
    <t>27-Oct</t>
  </si>
  <si>
    <t>28-Oct</t>
  </si>
  <si>
    <t>29-Oct</t>
  </si>
  <si>
    <t>30-Oct</t>
  </si>
  <si>
    <t>31-Oct</t>
  </si>
  <si>
    <t>NSE</t>
  </si>
  <si>
    <t>R^2</t>
  </si>
  <si>
    <t>R</t>
  </si>
  <si>
    <t>RMSE</t>
  </si>
  <si>
    <t>PBIAS</t>
  </si>
  <si>
    <t>Little Fishing Creek</t>
  </si>
  <si>
    <t>Date</t>
  </si>
  <si>
    <t>Error^2</t>
  </si>
  <si>
    <t>(Oi-Om)^2</t>
  </si>
  <si>
    <t>model</t>
  </si>
  <si>
    <t>Tarboro station Discharge</t>
  </si>
  <si>
    <t>St. deviation</t>
  </si>
  <si>
    <t>RSR</t>
  </si>
  <si>
    <t>Rocky Mount</t>
  </si>
  <si>
    <t>flow in cumec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</si>
</sst>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B0F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/>
    <xf numFmtId="0" fontId="0" fillId="2" borderId="0" xfId="0" applyFill="1"/>
    <xf numFmtId="10" fontId="0" fillId="2" borderId="0" xfId="1" applyNumberFormat="1" applyFont="1" applyFill="1"/>
    <xf numFmtId="0" fontId="2" fillId="0" borderId="0" xfId="0" applyFont="1" applyAlignment="1">
      <alignment horizontal="center"/>
    </xf>
    <xf numFmtId="0" fontId="2" fillId="0" borderId="0" xfId="0" applyFont="1"/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0" fontId="2" fillId="2" borderId="0" xfId="1" applyNumberFormat="1" applyFont="1" applyFill="1"/>
    <xf numFmtId="0" fontId="2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  <xf numFmtId="2" fontId="2" fillId="2" borderId="0" xfId="0" applyNumberFormat="1" applyFont="1" applyFill="1"/>
    <xf numFmtId="2" fontId="0" fillId="0" borderId="0" xfId="0" applyNumberFormat="1"/>
    <xf numFmtId="0" fontId="0" fillId="3" borderId="0" xfId="0" applyFill="1"/>
    <xf numFmtId="0" fontId="2" fillId="3" borderId="0" xfId="0" applyFont="1" applyFill="1"/>
    <xf numFmtId="2" fontId="2" fillId="3" borderId="0" xfId="0" applyNumberFormat="1" applyFont="1" applyFill="1"/>
    <xf numFmtId="2" fontId="0" fillId="3" borderId="0" xfId="0" applyNumberFormat="1" applyFill="1"/>
    <xf numFmtId="0" fontId="0" fillId="0" borderId="0" xfId="0" applyAlignment="1">
      <alignment horizontal="left" indent="1"/>
    </xf>
    <xf numFmtId="0" fontId="3" fillId="0" borderId="0" xfId="0" applyFont="1"/>
    <xf numFmtId="0" fontId="3" fillId="3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TAR!$C$3:$C$32</c:f>
              <c:strCache>
                <c:ptCount val="30"/>
                <c:pt idx="0">
                  <c:v>1-Oct</c:v>
                </c:pt>
                <c:pt idx="1">
                  <c:v>2-Oct</c:v>
                </c:pt>
                <c:pt idx="2">
                  <c:v>3-Oct</c:v>
                </c:pt>
                <c:pt idx="3">
                  <c:v>4-Oct</c:v>
                </c:pt>
                <c:pt idx="4">
                  <c:v>5-Oct</c:v>
                </c:pt>
                <c:pt idx="5">
                  <c:v>6-Oct</c:v>
                </c:pt>
                <c:pt idx="6">
                  <c:v>7-Oct</c:v>
                </c:pt>
                <c:pt idx="7">
                  <c:v>8-Oct</c:v>
                </c:pt>
                <c:pt idx="8">
                  <c:v>9-Oct</c:v>
                </c:pt>
                <c:pt idx="9">
                  <c:v>10-Oct</c:v>
                </c:pt>
                <c:pt idx="10">
                  <c:v>11-Oct</c:v>
                </c:pt>
                <c:pt idx="11">
                  <c:v>12-Oct</c:v>
                </c:pt>
                <c:pt idx="12">
                  <c:v>13-Oct</c:v>
                </c:pt>
                <c:pt idx="13">
                  <c:v>14-Oct</c:v>
                </c:pt>
                <c:pt idx="14">
                  <c:v>15-Oct</c:v>
                </c:pt>
                <c:pt idx="15">
                  <c:v>16-Oct</c:v>
                </c:pt>
                <c:pt idx="16">
                  <c:v>17-Oct</c:v>
                </c:pt>
                <c:pt idx="17">
                  <c:v>18-Oct</c:v>
                </c:pt>
                <c:pt idx="18">
                  <c:v>19-Oct</c:v>
                </c:pt>
                <c:pt idx="19">
                  <c:v>20-Oct</c:v>
                </c:pt>
                <c:pt idx="20">
                  <c:v>21-Oct</c:v>
                </c:pt>
                <c:pt idx="21">
                  <c:v>22-Oct</c:v>
                </c:pt>
                <c:pt idx="22">
                  <c:v>23-Oct</c:v>
                </c:pt>
                <c:pt idx="23">
                  <c:v>24-Oct</c:v>
                </c:pt>
                <c:pt idx="24">
                  <c:v>25-Oct</c:v>
                </c:pt>
                <c:pt idx="25">
                  <c:v>26-Oct</c:v>
                </c:pt>
                <c:pt idx="26">
                  <c:v>27-Oct</c:v>
                </c:pt>
                <c:pt idx="27">
                  <c:v>28-Oct</c:v>
                </c:pt>
                <c:pt idx="28">
                  <c:v>29-Oct</c:v>
                </c:pt>
                <c:pt idx="29">
                  <c:v>30-Oct</c:v>
                </c:pt>
              </c:strCache>
            </c:strRef>
          </c:xVal>
          <c:yVal>
            <c:numRef>
              <c:f>TAR!$D$3:$D$32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6.3460000000000001</c:v>
                </c:pt>
                <c:pt idx="7">
                  <c:v>6330.1319999999996</c:v>
                </c:pt>
                <c:pt idx="8">
                  <c:v>12974.588</c:v>
                </c:pt>
                <c:pt idx="9">
                  <c:v>5236.8680000000004</c:v>
                </c:pt>
                <c:pt idx="10">
                  <c:v>426.17700000000002</c:v>
                </c:pt>
                <c:pt idx="11">
                  <c:v>155.80699999999999</c:v>
                </c:pt>
                <c:pt idx="12">
                  <c:v>89.808000000000007</c:v>
                </c:pt>
                <c:pt idx="13">
                  <c:v>64.13</c:v>
                </c:pt>
                <c:pt idx="14">
                  <c:v>48.7</c:v>
                </c:pt>
                <c:pt idx="15">
                  <c:v>38.859000000000002</c:v>
                </c:pt>
                <c:pt idx="16">
                  <c:v>32.405999999999999</c:v>
                </c:pt>
                <c:pt idx="17">
                  <c:v>27.231000000000002</c:v>
                </c:pt>
                <c:pt idx="18">
                  <c:v>23.440999999999999</c:v>
                </c:pt>
                <c:pt idx="19">
                  <c:v>20.556000000000001</c:v>
                </c:pt>
                <c:pt idx="20">
                  <c:v>18.119</c:v>
                </c:pt>
                <c:pt idx="21">
                  <c:v>16.227</c:v>
                </c:pt>
                <c:pt idx="22">
                  <c:v>14.522</c:v>
                </c:pt>
                <c:pt idx="23">
                  <c:v>13.141</c:v>
                </c:pt>
                <c:pt idx="24">
                  <c:v>12.006</c:v>
                </c:pt>
                <c:pt idx="25">
                  <c:v>10.930999999999999</c:v>
                </c:pt>
                <c:pt idx="26">
                  <c:v>10.041</c:v>
                </c:pt>
                <c:pt idx="27">
                  <c:v>9.2720000000000002</c:v>
                </c:pt>
                <c:pt idx="28">
                  <c:v>8.6639999999999997</c:v>
                </c:pt>
                <c:pt idx="29">
                  <c:v>8.1229999999999993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81E-43EB-B91D-1636C0653070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TAR!$C$3:$C$32</c:f>
              <c:strCache>
                <c:ptCount val="30"/>
                <c:pt idx="0">
                  <c:v>1-Oct</c:v>
                </c:pt>
                <c:pt idx="1">
                  <c:v>2-Oct</c:v>
                </c:pt>
                <c:pt idx="2">
                  <c:v>3-Oct</c:v>
                </c:pt>
                <c:pt idx="3">
                  <c:v>4-Oct</c:v>
                </c:pt>
                <c:pt idx="4">
                  <c:v>5-Oct</c:v>
                </c:pt>
                <c:pt idx="5">
                  <c:v>6-Oct</c:v>
                </c:pt>
                <c:pt idx="6">
                  <c:v>7-Oct</c:v>
                </c:pt>
                <c:pt idx="7">
                  <c:v>8-Oct</c:v>
                </c:pt>
                <c:pt idx="8">
                  <c:v>9-Oct</c:v>
                </c:pt>
                <c:pt idx="9">
                  <c:v>10-Oct</c:v>
                </c:pt>
                <c:pt idx="10">
                  <c:v>11-Oct</c:v>
                </c:pt>
                <c:pt idx="11">
                  <c:v>12-Oct</c:v>
                </c:pt>
                <c:pt idx="12">
                  <c:v>13-Oct</c:v>
                </c:pt>
                <c:pt idx="13">
                  <c:v>14-Oct</c:v>
                </c:pt>
                <c:pt idx="14">
                  <c:v>15-Oct</c:v>
                </c:pt>
                <c:pt idx="15">
                  <c:v>16-Oct</c:v>
                </c:pt>
                <c:pt idx="16">
                  <c:v>17-Oct</c:v>
                </c:pt>
                <c:pt idx="17">
                  <c:v>18-Oct</c:v>
                </c:pt>
                <c:pt idx="18">
                  <c:v>19-Oct</c:v>
                </c:pt>
                <c:pt idx="19">
                  <c:v>20-Oct</c:v>
                </c:pt>
                <c:pt idx="20">
                  <c:v>21-Oct</c:v>
                </c:pt>
                <c:pt idx="21">
                  <c:v>22-Oct</c:v>
                </c:pt>
                <c:pt idx="22">
                  <c:v>23-Oct</c:v>
                </c:pt>
                <c:pt idx="23">
                  <c:v>24-Oct</c:v>
                </c:pt>
                <c:pt idx="24">
                  <c:v>25-Oct</c:v>
                </c:pt>
                <c:pt idx="25">
                  <c:v>26-Oct</c:v>
                </c:pt>
                <c:pt idx="26">
                  <c:v>27-Oct</c:v>
                </c:pt>
                <c:pt idx="27">
                  <c:v>28-Oct</c:v>
                </c:pt>
                <c:pt idx="28">
                  <c:v>29-Oct</c:v>
                </c:pt>
                <c:pt idx="29">
                  <c:v>30-Oct</c:v>
                </c:pt>
              </c:strCache>
            </c:strRef>
          </c:xVal>
          <c:yVal>
            <c:numRef>
              <c:f>TAR!$E$3:$E$32</c:f>
              <c:numCache>
                <c:formatCode>General</c:formatCode>
                <c:ptCount val="30"/>
                <c:pt idx="0">
                  <c:v>206</c:v>
                </c:pt>
                <c:pt idx="1">
                  <c:v>166</c:v>
                </c:pt>
                <c:pt idx="2">
                  <c:v>92.2</c:v>
                </c:pt>
                <c:pt idx="3">
                  <c:v>57.7</c:v>
                </c:pt>
                <c:pt idx="4">
                  <c:v>42.9</c:v>
                </c:pt>
                <c:pt idx="5">
                  <c:v>32.9</c:v>
                </c:pt>
                <c:pt idx="6">
                  <c:v>29.4</c:v>
                </c:pt>
                <c:pt idx="7">
                  <c:v>6650</c:v>
                </c:pt>
                <c:pt idx="8">
                  <c:v>11500</c:v>
                </c:pt>
                <c:pt idx="9">
                  <c:v>5260</c:v>
                </c:pt>
                <c:pt idx="10">
                  <c:v>342</c:v>
                </c:pt>
                <c:pt idx="11">
                  <c:v>189</c:v>
                </c:pt>
                <c:pt idx="12">
                  <c:v>140</c:v>
                </c:pt>
                <c:pt idx="13">
                  <c:v>109</c:v>
                </c:pt>
                <c:pt idx="14">
                  <c:v>89.7</c:v>
                </c:pt>
                <c:pt idx="15">
                  <c:v>68.400000000000006</c:v>
                </c:pt>
                <c:pt idx="16">
                  <c:v>60.3</c:v>
                </c:pt>
                <c:pt idx="17">
                  <c:v>54.2</c:v>
                </c:pt>
                <c:pt idx="18">
                  <c:v>48.4</c:v>
                </c:pt>
                <c:pt idx="19">
                  <c:v>45.1</c:v>
                </c:pt>
                <c:pt idx="20">
                  <c:v>41.8</c:v>
                </c:pt>
                <c:pt idx="21">
                  <c:v>37</c:v>
                </c:pt>
                <c:pt idx="22">
                  <c:v>32.9</c:v>
                </c:pt>
                <c:pt idx="23">
                  <c:v>30.9</c:v>
                </c:pt>
                <c:pt idx="24">
                  <c:v>28.5</c:v>
                </c:pt>
                <c:pt idx="25">
                  <c:v>28</c:v>
                </c:pt>
                <c:pt idx="26">
                  <c:v>26.5</c:v>
                </c:pt>
                <c:pt idx="27">
                  <c:v>26.5</c:v>
                </c:pt>
                <c:pt idx="28">
                  <c:v>26.5</c:v>
                </c:pt>
                <c:pt idx="29">
                  <c:v>26.5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81E-43EB-B91D-1636C06530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6026480"/>
        <c:axId val="886029360"/>
      </c:scatterChart>
      <c:valAx>
        <c:axId val="88602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029360"/>
        <c:crosses val="autoZero"/>
        <c:crossBetween val="midCat"/>
      </c:valAx>
      <c:valAx>
        <c:axId val="88602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0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TAR!$D$3:$D$33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6.3460000000000001</c:v>
                </c:pt>
                <c:pt idx="7">
                  <c:v>6330.1319999999996</c:v>
                </c:pt>
                <c:pt idx="8">
                  <c:v>12974.588</c:v>
                </c:pt>
                <c:pt idx="9">
                  <c:v>5236.8680000000004</c:v>
                </c:pt>
                <c:pt idx="10">
                  <c:v>426.17700000000002</c:v>
                </c:pt>
                <c:pt idx="11">
                  <c:v>155.80699999999999</c:v>
                </c:pt>
                <c:pt idx="12">
                  <c:v>89.808000000000007</c:v>
                </c:pt>
                <c:pt idx="13">
                  <c:v>64.13</c:v>
                </c:pt>
                <c:pt idx="14">
                  <c:v>48.7</c:v>
                </c:pt>
                <c:pt idx="15">
                  <c:v>38.859000000000002</c:v>
                </c:pt>
                <c:pt idx="16">
                  <c:v>32.405999999999999</c:v>
                </c:pt>
                <c:pt idx="17">
                  <c:v>27.231000000000002</c:v>
                </c:pt>
                <c:pt idx="18">
                  <c:v>23.440999999999999</c:v>
                </c:pt>
                <c:pt idx="19">
                  <c:v>20.556000000000001</c:v>
                </c:pt>
                <c:pt idx="20">
                  <c:v>18.119</c:v>
                </c:pt>
                <c:pt idx="21">
                  <c:v>16.227</c:v>
                </c:pt>
                <c:pt idx="22">
                  <c:v>14.522</c:v>
                </c:pt>
                <c:pt idx="23">
                  <c:v>13.141</c:v>
                </c:pt>
                <c:pt idx="24">
                  <c:v>12.006</c:v>
                </c:pt>
                <c:pt idx="25">
                  <c:v>10.930999999999999</c:v>
                </c:pt>
                <c:pt idx="26">
                  <c:v>10.041</c:v>
                </c:pt>
                <c:pt idx="27">
                  <c:v>9.2720000000000002</c:v>
                </c:pt>
                <c:pt idx="28">
                  <c:v>8.6639999999999997</c:v>
                </c:pt>
                <c:pt idx="29">
                  <c:v>8.1229999999999993</c:v>
                </c:pt>
                <c:pt idx="30">
                  <c:v>7.6260000000000003</c:v>
                </c:pt>
              </c:numCache>
            </c:numRef>
          </c:xVal>
          <c:yVal>
            <c:numRef>
              <c:f>TAR!$E$3:$E$33</c:f>
              <c:numCache>
                <c:formatCode>General</c:formatCode>
                <c:ptCount val="31"/>
                <c:pt idx="0">
                  <c:v>206</c:v>
                </c:pt>
                <c:pt idx="1">
                  <c:v>166</c:v>
                </c:pt>
                <c:pt idx="2">
                  <c:v>92.2</c:v>
                </c:pt>
                <c:pt idx="3">
                  <c:v>57.7</c:v>
                </c:pt>
                <c:pt idx="4">
                  <c:v>42.9</c:v>
                </c:pt>
                <c:pt idx="5">
                  <c:v>32.9</c:v>
                </c:pt>
                <c:pt idx="6">
                  <c:v>29.4</c:v>
                </c:pt>
                <c:pt idx="7">
                  <c:v>6650</c:v>
                </c:pt>
                <c:pt idx="8">
                  <c:v>11500</c:v>
                </c:pt>
                <c:pt idx="9">
                  <c:v>5260</c:v>
                </c:pt>
                <c:pt idx="10">
                  <c:v>342</c:v>
                </c:pt>
                <c:pt idx="11">
                  <c:v>189</c:v>
                </c:pt>
                <c:pt idx="12">
                  <c:v>140</c:v>
                </c:pt>
                <c:pt idx="13">
                  <c:v>109</c:v>
                </c:pt>
                <c:pt idx="14">
                  <c:v>89.7</c:v>
                </c:pt>
                <c:pt idx="15">
                  <c:v>68.400000000000006</c:v>
                </c:pt>
                <c:pt idx="16">
                  <c:v>60.3</c:v>
                </c:pt>
                <c:pt idx="17">
                  <c:v>54.2</c:v>
                </c:pt>
                <c:pt idx="18">
                  <c:v>48.4</c:v>
                </c:pt>
                <c:pt idx="19">
                  <c:v>45.1</c:v>
                </c:pt>
                <c:pt idx="20">
                  <c:v>41.8</c:v>
                </c:pt>
                <c:pt idx="21">
                  <c:v>37</c:v>
                </c:pt>
                <c:pt idx="22">
                  <c:v>32.9</c:v>
                </c:pt>
                <c:pt idx="23">
                  <c:v>30.9</c:v>
                </c:pt>
                <c:pt idx="24">
                  <c:v>28.5</c:v>
                </c:pt>
                <c:pt idx="25">
                  <c:v>28</c:v>
                </c:pt>
                <c:pt idx="26">
                  <c:v>26.5</c:v>
                </c:pt>
                <c:pt idx="27">
                  <c:v>26.5</c:v>
                </c:pt>
                <c:pt idx="28">
                  <c:v>26.5</c:v>
                </c:pt>
                <c:pt idx="29">
                  <c:v>26.5</c:v>
                </c:pt>
                <c:pt idx="30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96-4B48-B273-54FD2E16F3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1225647"/>
        <c:axId val="1881215567"/>
      </c:scatterChart>
      <c:valAx>
        <c:axId val="1881225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215567"/>
        <c:crosses val="autoZero"/>
        <c:crossBetween val="midCat"/>
      </c:valAx>
      <c:valAx>
        <c:axId val="1881215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2256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'Lit Fishing Creek'!$A$4:$A$34</c:f>
              <c:numCache>
                <c:formatCode>m/d/yyyy</c:formatCode>
                <c:ptCount val="31"/>
                <c:pt idx="0">
                  <c:v>42644</c:v>
                </c:pt>
                <c:pt idx="1">
                  <c:v>42645</c:v>
                </c:pt>
                <c:pt idx="2">
                  <c:v>42646</c:v>
                </c:pt>
                <c:pt idx="3">
                  <c:v>42647</c:v>
                </c:pt>
                <c:pt idx="4">
                  <c:v>42648</c:v>
                </c:pt>
                <c:pt idx="5">
                  <c:v>42649</c:v>
                </c:pt>
                <c:pt idx="6">
                  <c:v>42650</c:v>
                </c:pt>
                <c:pt idx="7">
                  <c:v>42651</c:v>
                </c:pt>
                <c:pt idx="8">
                  <c:v>42652</c:v>
                </c:pt>
                <c:pt idx="9">
                  <c:v>42653</c:v>
                </c:pt>
                <c:pt idx="10">
                  <c:v>42654</c:v>
                </c:pt>
                <c:pt idx="11">
                  <c:v>42655</c:v>
                </c:pt>
                <c:pt idx="12">
                  <c:v>42656</c:v>
                </c:pt>
                <c:pt idx="13">
                  <c:v>42657</c:v>
                </c:pt>
                <c:pt idx="14">
                  <c:v>42658</c:v>
                </c:pt>
                <c:pt idx="15">
                  <c:v>42659</c:v>
                </c:pt>
                <c:pt idx="16">
                  <c:v>42660</c:v>
                </c:pt>
                <c:pt idx="17">
                  <c:v>42661</c:v>
                </c:pt>
                <c:pt idx="18">
                  <c:v>42662</c:v>
                </c:pt>
                <c:pt idx="19">
                  <c:v>42663</c:v>
                </c:pt>
                <c:pt idx="20">
                  <c:v>42664</c:v>
                </c:pt>
                <c:pt idx="21">
                  <c:v>42665</c:v>
                </c:pt>
                <c:pt idx="22">
                  <c:v>42666</c:v>
                </c:pt>
                <c:pt idx="23">
                  <c:v>42667</c:v>
                </c:pt>
                <c:pt idx="24">
                  <c:v>42668</c:v>
                </c:pt>
                <c:pt idx="25">
                  <c:v>42669</c:v>
                </c:pt>
                <c:pt idx="26">
                  <c:v>42670</c:v>
                </c:pt>
                <c:pt idx="27">
                  <c:v>42671</c:v>
                </c:pt>
                <c:pt idx="28">
                  <c:v>42672</c:v>
                </c:pt>
                <c:pt idx="29">
                  <c:v>42673</c:v>
                </c:pt>
                <c:pt idx="30">
                  <c:v>42674</c:v>
                </c:pt>
              </c:numCache>
            </c:numRef>
          </c:xVal>
          <c:yVal>
            <c:numRef>
              <c:f>'Lit Fishing Creek'!$B$4:$B$34</c:f>
              <c:numCache>
                <c:formatCode>General</c:formatCode>
                <c:ptCount val="31"/>
                <c:pt idx="0">
                  <c:v>410</c:v>
                </c:pt>
                <c:pt idx="1">
                  <c:v>446</c:v>
                </c:pt>
                <c:pt idx="2">
                  <c:v>157</c:v>
                </c:pt>
                <c:pt idx="3">
                  <c:v>69.400000000000006</c:v>
                </c:pt>
                <c:pt idx="4">
                  <c:v>50</c:v>
                </c:pt>
                <c:pt idx="5">
                  <c:v>39.5</c:v>
                </c:pt>
                <c:pt idx="6">
                  <c:v>34.5</c:v>
                </c:pt>
                <c:pt idx="7">
                  <c:v>4730</c:v>
                </c:pt>
                <c:pt idx="8">
                  <c:v>13300</c:v>
                </c:pt>
                <c:pt idx="9">
                  <c:v>13100</c:v>
                </c:pt>
                <c:pt idx="10">
                  <c:v>5810</c:v>
                </c:pt>
                <c:pt idx="11">
                  <c:v>1210</c:v>
                </c:pt>
                <c:pt idx="12">
                  <c:v>230</c:v>
                </c:pt>
                <c:pt idx="13">
                  <c:v>160</c:v>
                </c:pt>
                <c:pt idx="14">
                  <c:v>121</c:v>
                </c:pt>
                <c:pt idx="15">
                  <c:v>96.8</c:v>
                </c:pt>
                <c:pt idx="16">
                  <c:v>84.4</c:v>
                </c:pt>
                <c:pt idx="17">
                  <c:v>73.900000000000006</c:v>
                </c:pt>
                <c:pt idx="18">
                  <c:v>67.599999999999994</c:v>
                </c:pt>
                <c:pt idx="19">
                  <c:v>61.9</c:v>
                </c:pt>
                <c:pt idx="20">
                  <c:v>59.7</c:v>
                </c:pt>
                <c:pt idx="21">
                  <c:v>59</c:v>
                </c:pt>
                <c:pt idx="22">
                  <c:v>55.5</c:v>
                </c:pt>
                <c:pt idx="23">
                  <c:v>52.7</c:v>
                </c:pt>
                <c:pt idx="24">
                  <c:v>48.7</c:v>
                </c:pt>
                <c:pt idx="25">
                  <c:v>48.7</c:v>
                </c:pt>
                <c:pt idx="26">
                  <c:v>46.8</c:v>
                </c:pt>
                <c:pt idx="27">
                  <c:v>46.8</c:v>
                </c:pt>
                <c:pt idx="28">
                  <c:v>50</c:v>
                </c:pt>
                <c:pt idx="29">
                  <c:v>49.4</c:v>
                </c:pt>
                <c:pt idx="30">
                  <c:v>48.7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67A-4372-979D-CD0E2729673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'Lit Fishing Creek'!$A$4:$A$34</c:f>
              <c:numCache>
                <c:formatCode>m/d/yyyy</c:formatCode>
                <c:ptCount val="31"/>
                <c:pt idx="0">
                  <c:v>42644</c:v>
                </c:pt>
                <c:pt idx="1">
                  <c:v>42645</c:v>
                </c:pt>
                <c:pt idx="2">
                  <c:v>42646</c:v>
                </c:pt>
                <c:pt idx="3">
                  <c:v>42647</c:v>
                </c:pt>
                <c:pt idx="4">
                  <c:v>42648</c:v>
                </c:pt>
                <c:pt idx="5">
                  <c:v>42649</c:v>
                </c:pt>
                <c:pt idx="6">
                  <c:v>42650</c:v>
                </c:pt>
                <c:pt idx="7">
                  <c:v>42651</c:v>
                </c:pt>
                <c:pt idx="8">
                  <c:v>42652</c:v>
                </c:pt>
                <c:pt idx="9">
                  <c:v>42653</c:v>
                </c:pt>
                <c:pt idx="10">
                  <c:v>42654</c:v>
                </c:pt>
                <c:pt idx="11">
                  <c:v>42655</c:v>
                </c:pt>
                <c:pt idx="12">
                  <c:v>42656</c:v>
                </c:pt>
                <c:pt idx="13">
                  <c:v>42657</c:v>
                </c:pt>
                <c:pt idx="14">
                  <c:v>42658</c:v>
                </c:pt>
                <c:pt idx="15">
                  <c:v>42659</c:v>
                </c:pt>
                <c:pt idx="16">
                  <c:v>42660</c:v>
                </c:pt>
                <c:pt idx="17">
                  <c:v>42661</c:v>
                </c:pt>
                <c:pt idx="18">
                  <c:v>42662</c:v>
                </c:pt>
                <c:pt idx="19">
                  <c:v>42663</c:v>
                </c:pt>
                <c:pt idx="20">
                  <c:v>42664</c:v>
                </c:pt>
                <c:pt idx="21">
                  <c:v>42665</c:v>
                </c:pt>
                <c:pt idx="22">
                  <c:v>42666</c:v>
                </c:pt>
                <c:pt idx="23">
                  <c:v>42667</c:v>
                </c:pt>
                <c:pt idx="24">
                  <c:v>42668</c:v>
                </c:pt>
                <c:pt idx="25">
                  <c:v>42669</c:v>
                </c:pt>
                <c:pt idx="26">
                  <c:v>42670</c:v>
                </c:pt>
                <c:pt idx="27">
                  <c:v>42671</c:v>
                </c:pt>
                <c:pt idx="28">
                  <c:v>42672</c:v>
                </c:pt>
                <c:pt idx="29">
                  <c:v>42673</c:v>
                </c:pt>
                <c:pt idx="30">
                  <c:v>42674</c:v>
                </c:pt>
              </c:numCache>
            </c:numRef>
          </c:xVal>
          <c:yVal>
            <c:numRef>
              <c:f>'Lit Fishing Creek'!#REF!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67A-4372-979D-CD0E27296734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'Lit Fishing Creek'!$A$4:$A$34</c:f>
              <c:numCache>
                <c:formatCode>m/d/yyyy</c:formatCode>
                <c:ptCount val="31"/>
                <c:pt idx="0">
                  <c:v>42644</c:v>
                </c:pt>
                <c:pt idx="1">
                  <c:v>42645</c:v>
                </c:pt>
                <c:pt idx="2">
                  <c:v>42646</c:v>
                </c:pt>
                <c:pt idx="3">
                  <c:v>42647</c:v>
                </c:pt>
                <c:pt idx="4">
                  <c:v>42648</c:v>
                </c:pt>
                <c:pt idx="5">
                  <c:v>42649</c:v>
                </c:pt>
                <c:pt idx="6">
                  <c:v>42650</c:v>
                </c:pt>
                <c:pt idx="7">
                  <c:v>42651</c:v>
                </c:pt>
                <c:pt idx="8">
                  <c:v>42652</c:v>
                </c:pt>
                <c:pt idx="9">
                  <c:v>42653</c:v>
                </c:pt>
                <c:pt idx="10">
                  <c:v>42654</c:v>
                </c:pt>
                <c:pt idx="11">
                  <c:v>42655</c:v>
                </c:pt>
                <c:pt idx="12">
                  <c:v>42656</c:v>
                </c:pt>
                <c:pt idx="13">
                  <c:v>42657</c:v>
                </c:pt>
                <c:pt idx="14">
                  <c:v>42658</c:v>
                </c:pt>
                <c:pt idx="15">
                  <c:v>42659</c:v>
                </c:pt>
                <c:pt idx="16">
                  <c:v>42660</c:v>
                </c:pt>
                <c:pt idx="17">
                  <c:v>42661</c:v>
                </c:pt>
                <c:pt idx="18">
                  <c:v>42662</c:v>
                </c:pt>
                <c:pt idx="19">
                  <c:v>42663</c:v>
                </c:pt>
                <c:pt idx="20">
                  <c:v>42664</c:v>
                </c:pt>
                <c:pt idx="21">
                  <c:v>42665</c:v>
                </c:pt>
                <c:pt idx="22">
                  <c:v>42666</c:v>
                </c:pt>
                <c:pt idx="23">
                  <c:v>42667</c:v>
                </c:pt>
                <c:pt idx="24">
                  <c:v>42668</c:v>
                </c:pt>
                <c:pt idx="25">
                  <c:v>42669</c:v>
                </c:pt>
                <c:pt idx="26">
                  <c:v>42670</c:v>
                </c:pt>
                <c:pt idx="27">
                  <c:v>42671</c:v>
                </c:pt>
                <c:pt idx="28">
                  <c:v>42672</c:v>
                </c:pt>
                <c:pt idx="29">
                  <c:v>42673</c:v>
                </c:pt>
                <c:pt idx="30">
                  <c:v>42674</c:v>
                </c:pt>
              </c:numCache>
            </c:numRef>
          </c:xVal>
          <c:yVal>
            <c:numRef>
              <c:f>'Lit Fishing Creek'!$C$4:$C$34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606.65200000000004</c:v>
                </c:pt>
                <c:pt idx="8">
                  <c:v>13331.709000000001</c:v>
                </c:pt>
                <c:pt idx="9">
                  <c:v>6031.8580000000002</c:v>
                </c:pt>
                <c:pt idx="10">
                  <c:v>561.68299999999999</c:v>
                </c:pt>
                <c:pt idx="11">
                  <c:v>1.155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67A-4372-979D-CD0E27296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3627600"/>
        <c:axId val="843625200"/>
      </c:scatterChart>
      <c:valAx>
        <c:axId val="843627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625200"/>
        <c:crosses val="autoZero"/>
        <c:crossBetween val="midCat"/>
      </c:valAx>
      <c:valAx>
        <c:axId val="843625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6276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'Lit Fishing Creek'!$B$4:$B$34</c:f>
              <c:numCache>
                <c:formatCode>General</c:formatCode>
                <c:ptCount val="31"/>
                <c:pt idx="0">
                  <c:v>410</c:v>
                </c:pt>
                <c:pt idx="1">
                  <c:v>446</c:v>
                </c:pt>
                <c:pt idx="2">
                  <c:v>157</c:v>
                </c:pt>
                <c:pt idx="3">
                  <c:v>69.400000000000006</c:v>
                </c:pt>
                <c:pt idx="4">
                  <c:v>50</c:v>
                </c:pt>
                <c:pt idx="5">
                  <c:v>39.5</c:v>
                </c:pt>
                <c:pt idx="6">
                  <c:v>34.5</c:v>
                </c:pt>
                <c:pt idx="7">
                  <c:v>4730</c:v>
                </c:pt>
                <c:pt idx="8">
                  <c:v>13300</c:v>
                </c:pt>
                <c:pt idx="9">
                  <c:v>13100</c:v>
                </c:pt>
                <c:pt idx="10">
                  <c:v>5810</c:v>
                </c:pt>
                <c:pt idx="11">
                  <c:v>1210</c:v>
                </c:pt>
                <c:pt idx="12">
                  <c:v>230</c:v>
                </c:pt>
                <c:pt idx="13">
                  <c:v>160</c:v>
                </c:pt>
                <c:pt idx="14">
                  <c:v>121</c:v>
                </c:pt>
                <c:pt idx="15">
                  <c:v>96.8</c:v>
                </c:pt>
                <c:pt idx="16">
                  <c:v>84.4</c:v>
                </c:pt>
                <c:pt idx="17">
                  <c:v>73.900000000000006</c:v>
                </c:pt>
                <c:pt idx="18">
                  <c:v>67.599999999999994</c:v>
                </c:pt>
                <c:pt idx="19">
                  <c:v>61.9</c:v>
                </c:pt>
                <c:pt idx="20">
                  <c:v>59.7</c:v>
                </c:pt>
                <c:pt idx="21">
                  <c:v>59</c:v>
                </c:pt>
                <c:pt idx="22">
                  <c:v>55.5</c:v>
                </c:pt>
                <c:pt idx="23">
                  <c:v>52.7</c:v>
                </c:pt>
                <c:pt idx="24">
                  <c:v>48.7</c:v>
                </c:pt>
                <c:pt idx="25">
                  <c:v>48.7</c:v>
                </c:pt>
                <c:pt idx="26">
                  <c:v>46.8</c:v>
                </c:pt>
                <c:pt idx="27">
                  <c:v>46.8</c:v>
                </c:pt>
                <c:pt idx="28">
                  <c:v>50</c:v>
                </c:pt>
                <c:pt idx="29">
                  <c:v>49.4</c:v>
                </c:pt>
                <c:pt idx="30">
                  <c:v>48.7</c:v>
                </c:pt>
              </c:numCache>
            </c:numRef>
          </c:xVal>
          <c:yVal>
            <c:numRef>
              <c:f>'Lit Fishing Creek'!$C$4:$C$34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606.65200000000004</c:v>
                </c:pt>
                <c:pt idx="8">
                  <c:v>13331.709000000001</c:v>
                </c:pt>
                <c:pt idx="9">
                  <c:v>6031.8580000000002</c:v>
                </c:pt>
                <c:pt idx="10">
                  <c:v>561.68299999999999</c:v>
                </c:pt>
                <c:pt idx="11">
                  <c:v>1.155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64-475C-8CCD-C1B48E3153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1238127"/>
        <c:axId val="1881221807"/>
      </c:scatterChart>
      <c:valAx>
        <c:axId val="1881238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221807"/>
        <c:crosses val="autoZero"/>
        <c:crossBetween val="midCat"/>
      </c:valAx>
      <c:valAx>
        <c:axId val="1881221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2381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RockyM!$C$3:$C$33</c:f>
              <c:strCache>
                <c:ptCount val="31"/>
                <c:pt idx="0">
                  <c:v>1-Oct</c:v>
                </c:pt>
                <c:pt idx="1">
                  <c:v>2-Oct</c:v>
                </c:pt>
                <c:pt idx="2">
                  <c:v>3-Oct</c:v>
                </c:pt>
                <c:pt idx="3">
                  <c:v>4-Oct</c:v>
                </c:pt>
                <c:pt idx="4">
                  <c:v>5-Oct</c:v>
                </c:pt>
                <c:pt idx="5">
                  <c:v>6-Oct</c:v>
                </c:pt>
                <c:pt idx="6">
                  <c:v>7-Oct</c:v>
                </c:pt>
                <c:pt idx="7">
                  <c:v>8-Oct</c:v>
                </c:pt>
                <c:pt idx="8">
                  <c:v>9-Oct</c:v>
                </c:pt>
                <c:pt idx="9">
                  <c:v>10-Oct</c:v>
                </c:pt>
                <c:pt idx="10">
                  <c:v>11-Oct</c:v>
                </c:pt>
                <c:pt idx="11">
                  <c:v>12-Oct</c:v>
                </c:pt>
                <c:pt idx="12">
                  <c:v>13-Oct</c:v>
                </c:pt>
                <c:pt idx="13">
                  <c:v>14-Oct</c:v>
                </c:pt>
                <c:pt idx="14">
                  <c:v>15-Oct</c:v>
                </c:pt>
                <c:pt idx="15">
                  <c:v>16-Oct</c:v>
                </c:pt>
                <c:pt idx="16">
                  <c:v>17-Oct</c:v>
                </c:pt>
                <c:pt idx="17">
                  <c:v>18-Oct</c:v>
                </c:pt>
                <c:pt idx="18">
                  <c:v>19-Oct</c:v>
                </c:pt>
                <c:pt idx="19">
                  <c:v>20-Oct</c:v>
                </c:pt>
                <c:pt idx="20">
                  <c:v>21-Oct</c:v>
                </c:pt>
                <c:pt idx="21">
                  <c:v>22-Oct</c:v>
                </c:pt>
                <c:pt idx="22">
                  <c:v>23-Oct</c:v>
                </c:pt>
                <c:pt idx="23">
                  <c:v>24-Oct</c:v>
                </c:pt>
                <c:pt idx="24">
                  <c:v>25-Oct</c:v>
                </c:pt>
                <c:pt idx="25">
                  <c:v>26-Oct</c:v>
                </c:pt>
                <c:pt idx="26">
                  <c:v>27-Oct</c:v>
                </c:pt>
                <c:pt idx="27">
                  <c:v>28-Oct</c:v>
                </c:pt>
                <c:pt idx="28">
                  <c:v>29-Oct</c:v>
                </c:pt>
                <c:pt idx="29">
                  <c:v>30-Oct</c:v>
                </c:pt>
                <c:pt idx="30">
                  <c:v>31-Oct</c:v>
                </c:pt>
              </c:strCache>
            </c:strRef>
          </c:xVal>
          <c:yVal>
            <c:numRef>
              <c:f>RockyM!$D$3:$D$33</c:f>
              <c:numCache>
                <c:formatCode>General</c:formatCode>
                <c:ptCount val="31"/>
                <c:pt idx="0">
                  <c:v>1480</c:v>
                </c:pt>
                <c:pt idx="1">
                  <c:v>1410</c:v>
                </c:pt>
                <c:pt idx="2">
                  <c:v>951</c:v>
                </c:pt>
                <c:pt idx="3">
                  <c:v>620</c:v>
                </c:pt>
                <c:pt idx="4">
                  <c:v>410</c:v>
                </c:pt>
                <c:pt idx="5">
                  <c:v>312</c:v>
                </c:pt>
                <c:pt idx="6">
                  <c:v>297</c:v>
                </c:pt>
                <c:pt idx="7">
                  <c:v>14600</c:v>
                </c:pt>
                <c:pt idx="8">
                  <c:v>23100</c:v>
                </c:pt>
                <c:pt idx="9">
                  <c:v>23200</c:v>
                </c:pt>
                <c:pt idx="10">
                  <c:v>18900</c:v>
                </c:pt>
                <c:pt idx="11">
                  <c:v>15000</c:v>
                </c:pt>
                <c:pt idx="12">
                  <c:v>13500</c:v>
                </c:pt>
                <c:pt idx="13">
                  <c:v>11500</c:v>
                </c:pt>
                <c:pt idx="14">
                  <c:v>3390</c:v>
                </c:pt>
                <c:pt idx="15">
                  <c:v>533</c:v>
                </c:pt>
                <c:pt idx="16">
                  <c:v>581</c:v>
                </c:pt>
                <c:pt idx="17">
                  <c:v>564</c:v>
                </c:pt>
                <c:pt idx="18">
                  <c:v>490</c:v>
                </c:pt>
                <c:pt idx="19">
                  <c:v>392</c:v>
                </c:pt>
                <c:pt idx="20">
                  <c:v>361</c:v>
                </c:pt>
                <c:pt idx="21">
                  <c:v>342</c:v>
                </c:pt>
                <c:pt idx="22">
                  <c:v>315</c:v>
                </c:pt>
                <c:pt idx="23">
                  <c:v>279</c:v>
                </c:pt>
                <c:pt idx="24">
                  <c:v>260</c:v>
                </c:pt>
                <c:pt idx="25">
                  <c:v>238</c:v>
                </c:pt>
                <c:pt idx="26">
                  <c:v>228</c:v>
                </c:pt>
                <c:pt idx="27">
                  <c:v>225</c:v>
                </c:pt>
                <c:pt idx="28">
                  <c:v>215</c:v>
                </c:pt>
                <c:pt idx="29">
                  <c:v>218</c:v>
                </c:pt>
                <c:pt idx="30">
                  <c:v>215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8B8-4794-AD71-246A5AB9161C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RockyM!$C$3:$C$33</c:f>
              <c:strCache>
                <c:ptCount val="31"/>
                <c:pt idx="0">
                  <c:v>1-Oct</c:v>
                </c:pt>
                <c:pt idx="1">
                  <c:v>2-Oct</c:v>
                </c:pt>
                <c:pt idx="2">
                  <c:v>3-Oct</c:v>
                </c:pt>
                <c:pt idx="3">
                  <c:v>4-Oct</c:v>
                </c:pt>
                <c:pt idx="4">
                  <c:v>5-Oct</c:v>
                </c:pt>
                <c:pt idx="5">
                  <c:v>6-Oct</c:v>
                </c:pt>
                <c:pt idx="6">
                  <c:v>7-Oct</c:v>
                </c:pt>
                <c:pt idx="7">
                  <c:v>8-Oct</c:v>
                </c:pt>
                <c:pt idx="8">
                  <c:v>9-Oct</c:v>
                </c:pt>
                <c:pt idx="9">
                  <c:v>10-Oct</c:v>
                </c:pt>
                <c:pt idx="10">
                  <c:v>11-Oct</c:v>
                </c:pt>
                <c:pt idx="11">
                  <c:v>12-Oct</c:v>
                </c:pt>
                <c:pt idx="12">
                  <c:v>13-Oct</c:v>
                </c:pt>
                <c:pt idx="13">
                  <c:v>14-Oct</c:v>
                </c:pt>
                <c:pt idx="14">
                  <c:v>15-Oct</c:v>
                </c:pt>
                <c:pt idx="15">
                  <c:v>16-Oct</c:v>
                </c:pt>
                <c:pt idx="16">
                  <c:v>17-Oct</c:v>
                </c:pt>
                <c:pt idx="17">
                  <c:v>18-Oct</c:v>
                </c:pt>
                <c:pt idx="18">
                  <c:v>19-Oct</c:v>
                </c:pt>
                <c:pt idx="19">
                  <c:v>20-Oct</c:v>
                </c:pt>
                <c:pt idx="20">
                  <c:v>21-Oct</c:v>
                </c:pt>
                <c:pt idx="21">
                  <c:v>22-Oct</c:v>
                </c:pt>
                <c:pt idx="22">
                  <c:v>23-Oct</c:v>
                </c:pt>
                <c:pt idx="23">
                  <c:v>24-Oct</c:v>
                </c:pt>
                <c:pt idx="24">
                  <c:v>25-Oct</c:v>
                </c:pt>
                <c:pt idx="25">
                  <c:v>26-Oct</c:v>
                </c:pt>
                <c:pt idx="26">
                  <c:v>27-Oct</c:v>
                </c:pt>
                <c:pt idx="27">
                  <c:v>28-Oct</c:v>
                </c:pt>
                <c:pt idx="28">
                  <c:v>29-Oct</c:v>
                </c:pt>
                <c:pt idx="29">
                  <c:v>30-Oct</c:v>
                </c:pt>
                <c:pt idx="30">
                  <c:v>31-Oct</c:v>
                </c:pt>
              </c:strCache>
            </c:strRef>
          </c:xVal>
          <c:yVal>
            <c:numRef>
              <c:f>RockyM!$E$3:$E$33</c:f>
            </c:numRef>
          </c:yVal>
          <c:smooth val="1"/>
          <c:extLst>
            <c:ext xmlns:c16="http://schemas.microsoft.com/office/drawing/2014/chart" uri="{C3380CC4-5D6E-409C-BE32-E72D297353CC}">
              <c16:uniqueId val="{00000001-58B8-4794-AD71-246A5AB916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9269184"/>
        <c:axId val="869271584"/>
      </c:scatterChart>
      <c:valAx>
        <c:axId val="869269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271584"/>
        <c:crosses val="autoZero"/>
        <c:crossBetween val="midCat"/>
      </c:valAx>
      <c:valAx>
        <c:axId val="86927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2691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RockyM!$E$2</c:f>
              <c:strCache>
                <c:ptCount val="1"/>
                <c:pt idx="0">
                  <c:v>model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RockyM!$D$3:$D$33</c:f>
              <c:numCache>
                <c:formatCode>General</c:formatCode>
                <c:ptCount val="31"/>
                <c:pt idx="0">
                  <c:v>1480</c:v>
                </c:pt>
                <c:pt idx="1">
                  <c:v>1410</c:v>
                </c:pt>
                <c:pt idx="2">
                  <c:v>951</c:v>
                </c:pt>
                <c:pt idx="3">
                  <c:v>620</c:v>
                </c:pt>
                <c:pt idx="4">
                  <c:v>410</c:v>
                </c:pt>
                <c:pt idx="5">
                  <c:v>312</c:v>
                </c:pt>
                <c:pt idx="6">
                  <c:v>297</c:v>
                </c:pt>
                <c:pt idx="7">
                  <c:v>14600</c:v>
                </c:pt>
                <c:pt idx="8">
                  <c:v>23100</c:v>
                </c:pt>
                <c:pt idx="9">
                  <c:v>23200</c:v>
                </c:pt>
                <c:pt idx="10">
                  <c:v>18900</c:v>
                </c:pt>
                <c:pt idx="11">
                  <c:v>15000</c:v>
                </c:pt>
                <c:pt idx="12">
                  <c:v>13500</c:v>
                </c:pt>
                <c:pt idx="13">
                  <c:v>11500</c:v>
                </c:pt>
                <c:pt idx="14">
                  <c:v>3390</c:v>
                </c:pt>
                <c:pt idx="15">
                  <c:v>533</c:v>
                </c:pt>
                <c:pt idx="16">
                  <c:v>581</c:v>
                </c:pt>
                <c:pt idx="17">
                  <c:v>564</c:v>
                </c:pt>
                <c:pt idx="18">
                  <c:v>490</c:v>
                </c:pt>
                <c:pt idx="19">
                  <c:v>392</c:v>
                </c:pt>
                <c:pt idx="20">
                  <c:v>361</c:v>
                </c:pt>
                <c:pt idx="21">
                  <c:v>342</c:v>
                </c:pt>
                <c:pt idx="22">
                  <c:v>315</c:v>
                </c:pt>
                <c:pt idx="23">
                  <c:v>279</c:v>
                </c:pt>
                <c:pt idx="24">
                  <c:v>260</c:v>
                </c:pt>
                <c:pt idx="25">
                  <c:v>238</c:v>
                </c:pt>
                <c:pt idx="26">
                  <c:v>228</c:v>
                </c:pt>
                <c:pt idx="27">
                  <c:v>225</c:v>
                </c:pt>
                <c:pt idx="28">
                  <c:v>215</c:v>
                </c:pt>
                <c:pt idx="29">
                  <c:v>218</c:v>
                </c:pt>
                <c:pt idx="30">
                  <c:v>215</c:v>
                </c:pt>
              </c:numCache>
            </c:numRef>
          </c:xVal>
          <c:yVal>
            <c:numRef>
              <c:f>RockyM!$E$3:$E$33</c:f>
            </c:numRef>
          </c:yVal>
          <c:smooth val="0"/>
          <c:extLst>
            <c:ext xmlns:c16="http://schemas.microsoft.com/office/drawing/2014/chart" uri="{C3380CC4-5D6E-409C-BE32-E72D297353CC}">
              <c16:uniqueId val="{00000000-06F2-44C0-8553-3DF606D167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1247727"/>
        <c:axId val="1881254447"/>
      </c:scatterChart>
      <c:valAx>
        <c:axId val="1881247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254447"/>
        <c:crosses val="autoZero"/>
        <c:crossBetween val="midCat"/>
      </c:valAx>
      <c:valAx>
        <c:axId val="1881254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247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'Tarboro '!$D$3:$D$33</c:f>
              <c:numCache>
                <c:formatCode>m/d/yyyy</c:formatCode>
                <c:ptCount val="31"/>
                <c:pt idx="0">
                  <c:v>42644</c:v>
                </c:pt>
                <c:pt idx="1">
                  <c:v>42645</c:v>
                </c:pt>
                <c:pt idx="2">
                  <c:v>42646</c:v>
                </c:pt>
                <c:pt idx="3">
                  <c:v>42647</c:v>
                </c:pt>
                <c:pt idx="4">
                  <c:v>42648</c:v>
                </c:pt>
                <c:pt idx="5">
                  <c:v>42649</c:v>
                </c:pt>
                <c:pt idx="6">
                  <c:v>42650</c:v>
                </c:pt>
                <c:pt idx="7">
                  <c:v>42651</c:v>
                </c:pt>
                <c:pt idx="8">
                  <c:v>42652</c:v>
                </c:pt>
                <c:pt idx="9">
                  <c:v>42653</c:v>
                </c:pt>
                <c:pt idx="10">
                  <c:v>42654</c:v>
                </c:pt>
                <c:pt idx="11">
                  <c:v>42655</c:v>
                </c:pt>
                <c:pt idx="12">
                  <c:v>42656</c:v>
                </c:pt>
                <c:pt idx="13">
                  <c:v>42657</c:v>
                </c:pt>
                <c:pt idx="14">
                  <c:v>42658</c:v>
                </c:pt>
                <c:pt idx="15">
                  <c:v>42659</c:v>
                </c:pt>
                <c:pt idx="16">
                  <c:v>42660</c:v>
                </c:pt>
                <c:pt idx="17">
                  <c:v>42661</c:v>
                </c:pt>
                <c:pt idx="18">
                  <c:v>42662</c:v>
                </c:pt>
                <c:pt idx="19">
                  <c:v>42663</c:v>
                </c:pt>
                <c:pt idx="20">
                  <c:v>42664</c:v>
                </c:pt>
                <c:pt idx="21">
                  <c:v>42665</c:v>
                </c:pt>
                <c:pt idx="22">
                  <c:v>42666</c:v>
                </c:pt>
                <c:pt idx="23">
                  <c:v>42667</c:v>
                </c:pt>
                <c:pt idx="24">
                  <c:v>42668</c:v>
                </c:pt>
                <c:pt idx="25">
                  <c:v>42669</c:v>
                </c:pt>
                <c:pt idx="26">
                  <c:v>42670</c:v>
                </c:pt>
                <c:pt idx="27">
                  <c:v>42671</c:v>
                </c:pt>
                <c:pt idx="28">
                  <c:v>42672</c:v>
                </c:pt>
                <c:pt idx="29">
                  <c:v>42673</c:v>
                </c:pt>
                <c:pt idx="30">
                  <c:v>42674</c:v>
                </c:pt>
              </c:numCache>
            </c:numRef>
          </c:xVal>
          <c:yVal>
            <c:numRef>
              <c:f>'Tarboro '!$E$3:$E$33</c:f>
              <c:numCache>
                <c:formatCode>General</c:formatCode>
                <c:ptCount val="31"/>
                <c:pt idx="0">
                  <c:v>1780</c:v>
                </c:pt>
                <c:pt idx="1">
                  <c:v>2310</c:v>
                </c:pt>
                <c:pt idx="2">
                  <c:v>2340</c:v>
                </c:pt>
                <c:pt idx="3">
                  <c:v>2290</c:v>
                </c:pt>
                <c:pt idx="4">
                  <c:v>1780</c:v>
                </c:pt>
                <c:pt idx="5">
                  <c:v>1250</c:v>
                </c:pt>
                <c:pt idx="6">
                  <c:v>1030</c:v>
                </c:pt>
                <c:pt idx="7">
                  <c:v>4470</c:v>
                </c:pt>
                <c:pt idx="8">
                  <c:v>18300</c:v>
                </c:pt>
                <c:pt idx="9">
                  <c:v>26600</c:v>
                </c:pt>
                <c:pt idx="10">
                  <c:v>36700</c:v>
                </c:pt>
                <c:pt idx="11">
                  <c:v>42500</c:v>
                </c:pt>
                <c:pt idx="12">
                  <c:v>42200</c:v>
                </c:pt>
                <c:pt idx="13">
                  <c:v>39700</c:v>
                </c:pt>
                <c:pt idx="14">
                  <c:v>29500</c:v>
                </c:pt>
                <c:pt idx="15">
                  <c:v>21900</c:v>
                </c:pt>
                <c:pt idx="16">
                  <c:v>16400</c:v>
                </c:pt>
                <c:pt idx="17">
                  <c:v>11800</c:v>
                </c:pt>
                <c:pt idx="18">
                  <c:v>7450</c:v>
                </c:pt>
                <c:pt idx="19">
                  <c:v>3440</c:v>
                </c:pt>
                <c:pt idx="20">
                  <c:v>1750</c:v>
                </c:pt>
                <c:pt idx="21">
                  <c:v>1460</c:v>
                </c:pt>
                <c:pt idx="22">
                  <c:v>1250</c:v>
                </c:pt>
                <c:pt idx="23">
                  <c:v>1120</c:v>
                </c:pt>
                <c:pt idx="24">
                  <c:v>1020</c:v>
                </c:pt>
                <c:pt idx="25">
                  <c:v>937</c:v>
                </c:pt>
                <c:pt idx="26">
                  <c:v>869</c:v>
                </c:pt>
                <c:pt idx="27">
                  <c:v>817</c:v>
                </c:pt>
                <c:pt idx="28">
                  <c:v>783</c:v>
                </c:pt>
                <c:pt idx="29">
                  <c:v>746</c:v>
                </c:pt>
                <c:pt idx="30">
                  <c:v>724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85F-4077-AC92-3D3234A5D1CE}"/>
            </c:ext>
          </c:extLst>
        </c:ser>
        <c:ser>
          <c:idx val="1"/>
          <c:order val="1"/>
          <c:tx>
            <c:v>Modeled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'Tarboro '!$D$3:$D$33</c:f>
              <c:numCache>
                <c:formatCode>m/d/yyyy</c:formatCode>
                <c:ptCount val="31"/>
                <c:pt idx="0">
                  <c:v>42644</c:v>
                </c:pt>
                <c:pt idx="1">
                  <c:v>42645</c:v>
                </c:pt>
                <c:pt idx="2">
                  <c:v>42646</c:v>
                </c:pt>
                <c:pt idx="3">
                  <c:v>42647</c:v>
                </c:pt>
                <c:pt idx="4">
                  <c:v>42648</c:v>
                </c:pt>
                <c:pt idx="5">
                  <c:v>42649</c:v>
                </c:pt>
                <c:pt idx="6">
                  <c:v>42650</c:v>
                </c:pt>
                <c:pt idx="7">
                  <c:v>42651</c:v>
                </c:pt>
                <c:pt idx="8">
                  <c:v>42652</c:v>
                </c:pt>
                <c:pt idx="9">
                  <c:v>42653</c:v>
                </c:pt>
                <c:pt idx="10">
                  <c:v>42654</c:v>
                </c:pt>
                <c:pt idx="11">
                  <c:v>42655</c:v>
                </c:pt>
                <c:pt idx="12">
                  <c:v>42656</c:v>
                </c:pt>
                <c:pt idx="13">
                  <c:v>42657</c:v>
                </c:pt>
                <c:pt idx="14">
                  <c:v>42658</c:v>
                </c:pt>
                <c:pt idx="15">
                  <c:v>42659</c:v>
                </c:pt>
                <c:pt idx="16">
                  <c:v>42660</c:v>
                </c:pt>
                <c:pt idx="17">
                  <c:v>42661</c:v>
                </c:pt>
                <c:pt idx="18">
                  <c:v>42662</c:v>
                </c:pt>
                <c:pt idx="19">
                  <c:v>42663</c:v>
                </c:pt>
                <c:pt idx="20">
                  <c:v>42664</c:v>
                </c:pt>
                <c:pt idx="21">
                  <c:v>42665</c:v>
                </c:pt>
                <c:pt idx="22">
                  <c:v>42666</c:v>
                </c:pt>
                <c:pt idx="23">
                  <c:v>42667</c:v>
                </c:pt>
                <c:pt idx="24">
                  <c:v>42668</c:v>
                </c:pt>
                <c:pt idx="25">
                  <c:v>42669</c:v>
                </c:pt>
                <c:pt idx="26">
                  <c:v>42670</c:v>
                </c:pt>
                <c:pt idx="27">
                  <c:v>42671</c:v>
                </c:pt>
                <c:pt idx="28">
                  <c:v>42672</c:v>
                </c:pt>
                <c:pt idx="29">
                  <c:v>42673</c:v>
                </c:pt>
                <c:pt idx="30">
                  <c:v>42674</c:v>
                </c:pt>
              </c:numCache>
            </c:numRef>
          </c:xVal>
          <c:yVal>
            <c:numRef>
              <c:f>'Tarboro '!$F$3:$F$35</c:f>
              <c:numCache>
                <c:formatCode>General</c:formatCode>
                <c:ptCount val="33"/>
                <c:pt idx="0">
                  <c:v>1145</c:v>
                </c:pt>
                <c:pt idx="1">
                  <c:v>1648</c:v>
                </c:pt>
                <c:pt idx="2">
                  <c:v>1932</c:v>
                </c:pt>
                <c:pt idx="3">
                  <c:v>1405</c:v>
                </c:pt>
                <c:pt idx="4">
                  <c:v>1568</c:v>
                </c:pt>
                <c:pt idx="5">
                  <c:v>1247</c:v>
                </c:pt>
                <c:pt idx="6">
                  <c:v>1247</c:v>
                </c:pt>
                <c:pt idx="7">
                  <c:v>5614.49</c:v>
                </c:pt>
                <c:pt idx="8">
                  <c:v>16214.29</c:v>
                </c:pt>
                <c:pt idx="9">
                  <c:v>32547</c:v>
                </c:pt>
                <c:pt idx="10">
                  <c:v>44001.733999999997</c:v>
                </c:pt>
                <c:pt idx="11">
                  <c:v>48852.57</c:v>
                </c:pt>
                <c:pt idx="12">
                  <c:v>43439.796999999999</c:v>
                </c:pt>
                <c:pt idx="13">
                  <c:v>28781.455000000002</c:v>
                </c:pt>
                <c:pt idx="14">
                  <c:v>17257.615000000002</c:v>
                </c:pt>
                <c:pt idx="15">
                  <c:v>11147.83</c:v>
                </c:pt>
                <c:pt idx="16">
                  <c:v>7611.585</c:v>
                </c:pt>
                <c:pt idx="17">
                  <c:v>4883.7759999999998</c:v>
                </c:pt>
                <c:pt idx="18">
                  <c:v>3164.7179999999998</c:v>
                </c:pt>
                <c:pt idx="19">
                  <c:v>3008</c:v>
                </c:pt>
                <c:pt idx="20">
                  <c:v>1509</c:v>
                </c:pt>
                <c:pt idx="21">
                  <c:v>1158</c:v>
                </c:pt>
                <c:pt idx="22">
                  <c:v>850.52099999999996</c:v>
                </c:pt>
                <c:pt idx="23">
                  <c:v>703.346</c:v>
                </c:pt>
                <c:pt idx="24">
                  <c:v>588.40099999999995</c:v>
                </c:pt>
                <c:pt idx="25">
                  <c:v>512.52700000000004</c:v>
                </c:pt>
                <c:pt idx="26">
                  <c:v>453.07900000000001</c:v>
                </c:pt>
                <c:pt idx="27">
                  <c:v>404.39100000000002</c:v>
                </c:pt>
                <c:pt idx="28">
                  <c:v>361.29199999999997</c:v>
                </c:pt>
                <c:pt idx="29">
                  <c:v>329.483</c:v>
                </c:pt>
                <c:pt idx="30">
                  <c:v>300.16500000000002</c:v>
                </c:pt>
                <c:pt idx="31">
                  <c:v>276.947</c:v>
                </c:pt>
                <c:pt idx="32">
                  <c:v>254.67599999999999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85F-4077-AC92-3D3234A5D1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4031871"/>
        <c:axId val="764031391"/>
      </c:scatterChart>
      <c:valAx>
        <c:axId val="76403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031391"/>
        <c:crosses val="autoZero"/>
        <c:crossBetween val="midCat"/>
      </c:valAx>
      <c:valAx>
        <c:axId val="764031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031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'Tarboro '!$E$3:$E$33</c:f>
              <c:numCache>
                <c:formatCode>General</c:formatCode>
                <c:ptCount val="31"/>
                <c:pt idx="0">
                  <c:v>1780</c:v>
                </c:pt>
                <c:pt idx="1">
                  <c:v>2310</c:v>
                </c:pt>
                <c:pt idx="2">
                  <c:v>2340</c:v>
                </c:pt>
                <c:pt idx="3">
                  <c:v>2290</c:v>
                </c:pt>
                <c:pt idx="4">
                  <c:v>1780</c:v>
                </c:pt>
                <c:pt idx="5">
                  <c:v>1250</c:v>
                </c:pt>
                <c:pt idx="6">
                  <c:v>1030</c:v>
                </c:pt>
                <c:pt idx="7">
                  <c:v>4470</c:v>
                </c:pt>
                <c:pt idx="8">
                  <c:v>18300</c:v>
                </c:pt>
                <c:pt idx="9">
                  <c:v>26600</c:v>
                </c:pt>
                <c:pt idx="10">
                  <c:v>36700</c:v>
                </c:pt>
                <c:pt idx="11">
                  <c:v>42500</c:v>
                </c:pt>
                <c:pt idx="12">
                  <c:v>42200</c:v>
                </c:pt>
                <c:pt idx="13">
                  <c:v>39700</c:v>
                </c:pt>
                <c:pt idx="14">
                  <c:v>29500</c:v>
                </c:pt>
                <c:pt idx="15">
                  <c:v>21900</c:v>
                </c:pt>
                <c:pt idx="16">
                  <c:v>16400</c:v>
                </c:pt>
                <c:pt idx="17">
                  <c:v>11800</c:v>
                </c:pt>
                <c:pt idx="18">
                  <c:v>7450</c:v>
                </c:pt>
                <c:pt idx="19">
                  <c:v>3440</c:v>
                </c:pt>
                <c:pt idx="20">
                  <c:v>1750</c:v>
                </c:pt>
                <c:pt idx="21">
                  <c:v>1460</c:v>
                </c:pt>
                <c:pt idx="22">
                  <c:v>1250</c:v>
                </c:pt>
                <c:pt idx="23">
                  <c:v>1120</c:v>
                </c:pt>
                <c:pt idx="24">
                  <c:v>1020</c:v>
                </c:pt>
                <c:pt idx="25">
                  <c:v>937</c:v>
                </c:pt>
                <c:pt idx="26">
                  <c:v>869</c:v>
                </c:pt>
                <c:pt idx="27">
                  <c:v>817</c:v>
                </c:pt>
                <c:pt idx="28">
                  <c:v>783</c:v>
                </c:pt>
                <c:pt idx="29">
                  <c:v>746</c:v>
                </c:pt>
                <c:pt idx="30">
                  <c:v>724</c:v>
                </c:pt>
              </c:numCache>
            </c:numRef>
          </c:xVal>
          <c:yVal>
            <c:numRef>
              <c:f>'Tarboro '!$F$3:$F$33</c:f>
              <c:numCache>
                <c:formatCode>General</c:formatCode>
                <c:ptCount val="31"/>
                <c:pt idx="0">
                  <c:v>1145</c:v>
                </c:pt>
                <c:pt idx="1">
                  <c:v>1648</c:v>
                </c:pt>
                <c:pt idx="2">
                  <c:v>1932</c:v>
                </c:pt>
                <c:pt idx="3">
                  <c:v>1405</c:v>
                </c:pt>
                <c:pt idx="4">
                  <c:v>1568</c:v>
                </c:pt>
                <c:pt idx="5">
                  <c:v>1247</c:v>
                </c:pt>
                <c:pt idx="6">
                  <c:v>1247</c:v>
                </c:pt>
                <c:pt idx="7">
                  <c:v>5614.49</c:v>
                </c:pt>
                <c:pt idx="8">
                  <c:v>16214.29</c:v>
                </c:pt>
                <c:pt idx="9">
                  <c:v>32547</c:v>
                </c:pt>
                <c:pt idx="10">
                  <c:v>44001.733999999997</c:v>
                </c:pt>
                <c:pt idx="11">
                  <c:v>48852.57</c:v>
                </c:pt>
                <c:pt idx="12">
                  <c:v>43439.796999999999</c:v>
                </c:pt>
                <c:pt idx="13">
                  <c:v>28781.455000000002</c:v>
                </c:pt>
                <c:pt idx="14">
                  <c:v>17257.615000000002</c:v>
                </c:pt>
                <c:pt idx="15">
                  <c:v>11147.83</c:v>
                </c:pt>
                <c:pt idx="16">
                  <c:v>7611.585</c:v>
                </c:pt>
                <c:pt idx="17">
                  <c:v>4883.7759999999998</c:v>
                </c:pt>
                <c:pt idx="18">
                  <c:v>3164.7179999999998</c:v>
                </c:pt>
                <c:pt idx="19">
                  <c:v>3008</c:v>
                </c:pt>
                <c:pt idx="20">
                  <c:v>1509</c:v>
                </c:pt>
                <c:pt idx="21">
                  <c:v>1158</c:v>
                </c:pt>
                <c:pt idx="22">
                  <c:v>850.52099999999996</c:v>
                </c:pt>
                <c:pt idx="23">
                  <c:v>703.346</c:v>
                </c:pt>
                <c:pt idx="24">
                  <c:v>588.40099999999995</c:v>
                </c:pt>
                <c:pt idx="25">
                  <c:v>512.52700000000004</c:v>
                </c:pt>
                <c:pt idx="26">
                  <c:v>453.07900000000001</c:v>
                </c:pt>
                <c:pt idx="27">
                  <c:v>404.39100000000002</c:v>
                </c:pt>
                <c:pt idx="28">
                  <c:v>361.29199999999997</c:v>
                </c:pt>
                <c:pt idx="29">
                  <c:v>329.483</c:v>
                </c:pt>
                <c:pt idx="30">
                  <c:v>300.16500000000002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45-4FF2-AA5A-0E7C3CA03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1249167"/>
        <c:axId val="1881265967"/>
      </c:scatterChart>
      <c:valAx>
        <c:axId val="1881249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265967"/>
        <c:crosses val="autoZero"/>
        <c:crossBetween val="midCat"/>
      </c:valAx>
      <c:valAx>
        <c:axId val="188126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2491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Greenville!$D$3:$D$33</c:f>
              <c:numCache>
                <c:formatCode>m/d/yyyy</c:formatCode>
                <c:ptCount val="31"/>
                <c:pt idx="0">
                  <c:v>42644</c:v>
                </c:pt>
                <c:pt idx="1">
                  <c:v>42645</c:v>
                </c:pt>
                <c:pt idx="2">
                  <c:v>42646</c:v>
                </c:pt>
                <c:pt idx="3">
                  <c:v>42647</c:v>
                </c:pt>
                <c:pt idx="4">
                  <c:v>42648</c:v>
                </c:pt>
                <c:pt idx="5">
                  <c:v>42649</c:v>
                </c:pt>
                <c:pt idx="6">
                  <c:v>42650</c:v>
                </c:pt>
                <c:pt idx="7">
                  <c:v>42651</c:v>
                </c:pt>
                <c:pt idx="8">
                  <c:v>42652</c:v>
                </c:pt>
                <c:pt idx="9">
                  <c:v>42653</c:v>
                </c:pt>
                <c:pt idx="10">
                  <c:v>42654</c:v>
                </c:pt>
                <c:pt idx="11">
                  <c:v>42655</c:v>
                </c:pt>
                <c:pt idx="12">
                  <c:v>42656</c:v>
                </c:pt>
                <c:pt idx="13">
                  <c:v>42657</c:v>
                </c:pt>
                <c:pt idx="14">
                  <c:v>42658</c:v>
                </c:pt>
                <c:pt idx="15">
                  <c:v>42659</c:v>
                </c:pt>
                <c:pt idx="16">
                  <c:v>42660</c:v>
                </c:pt>
                <c:pt idx="17">
                  <c:v>42661</c:v>
                </c:pt>
                <c:pt idx="18">
                  <c:v>42662</c:v>
                </c:pt>
                <c:pt idx="19">
                  <c:v>42663</c:v>
                </c:pt>
                <c:pt idx="20">
                  <c:v>42664</c:v>
                </c:pt>
                <c:pt idx="21">
                  <c:v>42665</c:v>
                </c:pt>
                <c:pt idx="22">
                  <c:v>42666</c:v>
                </c:pt>
                <c:pt idx="23">
                  <c:v>42667</c:v>
                </c:pt>
                <c:pt idx="24">
                  <c:v>42668</c:v>
                </c:pt>
                <c:pt idx="25">
                  <c:v>42669</c:v>
                </c:pt>
                <c:pt idx="26">
                  <c:v>42670</c:v>
                </c:pt>
                <c:pt idx="27">
                  <c:v>42671</c:v>
                </c:pt>
                <c:pt idx="28">
                  <c:v>42672</c:v>
                </c:pt>
                <c:pt idx="29">
                  <c:v>42673</c:v>
                </c:pt>
                <c:pt idx="30">
                  <c:v>42674</c:v>
                </c:pt>
              </c:numCache>
            </c:numRef>
          </c:xVal>
          <c:yVal>
            <c:numRef>
              <c:f>Greenville!$E$3:$E$33</c:f>
              <c:numCache>
                <c:formatCode>General</c:formatCode>
                <c:ptCount val="31"/>
                <c:pt idx="0">
                  <c:v>2520</c:v>
                </c:pt>
                <c:pt idx="1">
                  <c:v>2660</c:v>
                </c:pt>
                <c:pt idx="2">
                  <c:v>2810</c:v>
                </c:pt>
                <c:pt idx="3">
                  <c:v>2840</c:v>
                </c:pt>
                <c:pt idx="4">
                  <c:v>2680</c:v>
                </c:pt>
                <c:pt idx="5">
                  <c:v>1960</c:v>
                </c:pt>
                <c:pt idx="6">
                  <c:v>1570</c:v>
                </c:pt>
                <c:pt idx="7">
                  <c:v>7660</c:v>
                </c:pt>
                <c:pt idx="8">
                  <c:v>21300</c:v>
                </c:pt>
                <c:pt idx="9">
                  <c:v>33400</c:v>
                </c:pt>
                <c:pt idx="10">
                  <c:v>40100</c:v>
                </c:pt>
                <c:pt idx="11">
                  <c:v>42100</c:v>
                </c:pt>
                <c:pt idx="12">
                  <c:v>45200</c:v>
                </c:pt>
                <c:pt idx="13">
                  <c:v>46200</c:v>
                </c:pt>
                <c:pt idx="14">
                  <c:v>45000</c:v>
                </c:pt>
                <c:pt idx="15">
                  <c:v>42000</c:v>
                </c:pt>
                <c:pt idx="16">
                  <c:v>36900</c:v>
                </c:pt>
                <c:pt idx="17">
                  <c:v>30100</c:v>
                </c:pt>
                <c:pt idx="18">
                  <c:v>26200</c:v>
                </c:pt>
                <c:pt idx="19">
                  <c:v>18300</c:v>
                </c:pt>
                <c:pt idx="20">
                  <c:v>8630</c:v>
                </c:pt>
                <c:pt idx="21">
                  <c:v>4380</c:v>
                </c:pt>
                <c:pt idx="22">
                  <c:v>1960</c:v>
                </c:pt>
                <c:pt idx="23">
                  <c:v>1410</c:v>
                </c:pt>
                <c:pt idx="24">
                  <c:v>1410</c:v>
                </c:pt>
                <c:pt idx="25">
                  <c:v>1460</c:v>
                </c:pt>
                <c:pt idx="26">
                  <c:v>1320</c:v>
                </c:pt>
                <c:pt idx="27">
                  <c:v>1360</c:v>
                </c:pt>
                <c:pt idx="28">
                  <c:v>1230</c:v>
                </c:pt>
                <c:pt idx="29">
                  <c:v>1250</c:v>
                </c:pt>
                <c:pt idx="30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90D-4FDF-B994-3087953F858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Greenville!$D$3:$D$33</c:f>
              <c:numCache>
                <c:formatCode>m/d/yyyy</c:formatCode>
                <c:ptCount val="31"/>
                <c:pt idx="0">
                  <c:v>42644</c:v>
                </c:pt>
                <c:pt idx="1">
                  <c:v>42645</c:v>
                </c:pt>
                <c:pt idx="2">
                  <c:v>42646</c:v>
                </c:pt>
                <c:pt idx="3">
                  <c:v>42647</c:v>
                </c:pt>
                <c:pt idx="4">
                  <c:v>42648</c:v>
                </c:pt>
                <c:pt idx="5">
                  <c:v>42649</c:v>
                </c:pt>
                <c:pt idx="6">
                  <c:v>42650</c:v>
                </c:pt>
                <c:pt idx="7">
                  <c:v>42651</c:v>
                </c:pt>
                <c:pt idx="8">
                  <c:v>42652</c:v>
                </c:pt>
                <c:pt idx="9">
                  <c:v>42653</c:v>
                </c:pt>
                <c:pt idx="10">
                  <c:v>42654</c:v>
                </c:pt>
                <c:pt idx="11">
                  <c:v>42655</c:v>
                </c:pt>
                <c:pt idx="12">
                  <c:v>42656</c:v>
                </c:pt>
                <c:pt idx="13">
                  <c:v>42657</c:v>
                </c:pt>
                <c:pt idx="14">
                  <c:v>42658</c:v>
                </c:pt>
                <c:pt idx="15">
                  <c:v>42659</c:v>
                </c:pt>
                <c:pt idx="16">
                  <c:v>42660</c:v>
                </c:pt>
                <c:pt idx="17">
                  <c:v>42661</c:v>
                </c:pt>
                <c:pt idx="18">
                  <c:v>42662</c:v>
                </c:pt>
                <c:pt idx="19">
                  <c:v>42663</c:v>
                </c:pt>
                <c:pt idx="20">
                  <c:v>42664</c:v>
                </c:pt>
                <c:pt idx="21">
                  <c:v>42665</c:v>
                </c:pt>
                <c:pt idx="22">
                  <c:v>42666</c:v>
                </c:pt>
                <c:pt idx="23">
                  <c:v>42667</c:v>
                </c:pt>
                <c:pt idx="24">
                  <c:v>42668</c:v>
                </c:pt>
                <c:pt idx="25">
                  <c:v>42669</c:v>
                </c:pt>
                <c:pt idx="26">
                  <c:v>42670</c:v>
                </c:pt>
                <c:pt idx="27">
                  <c:v>42671</c:v>
                </c:pt>
                <c:pt idx="28">
                  <c:v>42672</c:v>
                </c:pt>
                <c:pt idx="29">
                  <c:v>42673</c:v>
                </c:pt>
                <c:pt idx="30">
                  <c:v>42674</c:v>
                </c:pt>
              </c:numCache>
            </c:numRef>
          </c:xVal>
          <c:yVal>
            <c:numRef>
              <c:f>Greenville!$F$3:$F$33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656</c:v>
                </c:pt>
                <c:pt idx="4">
                  <c:v>1453</c:v>
                </c:pt>
                <c:pt idx="5">
                  <c:v>8420</c:v>
                </c:pt>
                <c:pt idx="6">
                  <c:v>11530</c:v>
                </c:pt>
                <c:pt idx="7">
                  <c:v>13420</c:v>
                </c:pt>
                <c:pt idx="8">
                  <c:v>19547</c:v>
                </c:pt>
                <c:pt idx="9">
                  <c:v>29042</c:v>
                </c:pt>
                <c:pt idx="10">
                  <c:v>33579</c:v>
                </c:pt>
                <c:pt idx="11">
                  <c:v>46298.16</c:v>
                </c:pt>
                <c:pt idx="12">
                  <c:v>46275.703000000001</c:v>
                </c:pt>
                <c:pt idx="13">
                  <c:v>44496.046999999999</c:v>
                </c:pt>
                <c:pt idx="14">
                  <c:v>42156</c:v>
                </c:pt>
                <c:pt idx="15">
                  <c:v>38709</c:v>
                </c:pt>
                <c:pt idx="16">
                  <c:v>27046</c:v>
                </c:pt>
                <c:pt idx="17">
                  <c:v>22346</c:v>
                </c:pt>
                <c:pt idx="18">
                  <c:v>739.66800000000001</c:v>
                </c:pt>
                <c:pt idx="19">
                  <c:v>416.27199999999999</c:v>
                </c:pt>
                <c:pt idx="20">
                  <c:v>252.102</c:v>
                </c:pt>
                <c:pt idx="21">
                  <c:v>149.15100000000001</c:v>
                </c:pt>
                <c:pt idx="22">
                  <c:v>91.117000000000004</c:v>
                </c:pt>
                <c:pt idx="23">
                  <c:v>59.27</c:v>
                </c:pt>
                <c:pt idx="24">
                  <c:v>42.732999999999997</c:v>
                </c:pt>
                <c:pt idx="25">
                  <c:v>31.914000000000001</c:v>
                </c:pt>
                <c:pt idx="26">
                  <c:v>24.574000000000002</c:v>
                </c:pt>
                <c:pt idx="27">
                  <c:v>18.969000000000001</c:v>
                </c:pt>
                <c:pt idx="28">
                  <c:v>14.055</c:v>
                </c:pt>
                <c:pt idx="29">
                  <c:v>10.686999999999999</c:v>
                </c:pt>
                <c:pt idx="30">
                  <c:v>8.1039999999999992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90D-4FDF-B994-3087953F85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4031871"/>
        <c:axId val="764031391"/>
      </c:scatterChart>
      <c:valAx>
        <c:axId val="76403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031391"/>
        <c:crosses val="autoZero"/>
        <c:crossBetween val="midCat"/>
      </c:valAx>
      <c:valAx>
        <c:axId val="764031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031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Greenville!$E$3:$E$33</c:f>
              <c:numCache>
                <c:formatCode>General</c:formatCode>
                <c:ptCount val="31"/>
                <c:pt idx="0">
                  <c:v>2520</c:v>
                </c:pt>
                <c:pt idx="1">
                  <c:v>2660</c:v>
                </c:pt>
                <c:pt idx="2">
                  <c:v>2810</c:v>
                </c:pt>
                <c:pt idx="3">
                  <c:v>2840</c:v>
                </c:pt>
                <c:pt idx="4">
                  <c:v>2680</c:v>
                </c:pt>
                <c:pt idx="5">
                  <c:v>1960</c:v>
                </c:pt>
                <c:pt idx="6">
                  <c:v>1570</c:v>
                </c:pt>
                <c:pt idx="7">
                  <c:v>7660</c:v>
                </c:pt>
                <c:pt idx="8">
                  <c:v>21300</c:v>
                </c:pt>
                <c:pt idx="9">
                  <c:v>33400</c:v>
                </c:pt>
                <c:pt idx="10">
                  <c:v>40100</c:v>
                </c:pt>
                <c:pt idx="11">
                  <c:v>42100</c:v>
                </c:pt>
                <c:pt idx="12">
                  <c:v>45200</c:v>
                </c:pt>
                <c:pt idx="13">
                  <c:v>46200</c:v>
                </c:pt>
                <c:pt idx="14">
                  <c:v>45000</c:v>
                </c:pt>
                <c:pt idx="15">
                  <c:v>42000</c:v>
                </c:pt>
                <c:pt idx="16">
                  <c:v>36900</c:v>
                </c:pt>
                <c:pt idx="17">
                  <c:v>30100</c:v>
                </c:pt>
                <c:pt idx="18">
                  <c:v>26200</c:v>
                </c:pt>
                <c:pt idx="19">
                  <c:v>18300</c:v>
                </c:pt>
                <c:pt idx="20">
                  <c:v>8630</c:v>
                </c:pt>
                <c:pt idx="21">
                  <c:v>4380</c:v>
                </c:pt>
                <c:pt idx="22">
                  <c:v>1960</c:v>
                </c:pt>
                <c:pt idx="23">
                  <c:v>1410</c:v>
                </c:pt>
                <c:pt idx="24">
                  <c:v>1410</c:v>
                </c:pt>
                <c:pt idx="25">
                  <c:v>1460</c:v>
                </c:pt>
                <c:pt idx="26">
                  <c:v>1320</c:v>
                </c:pt>
                <c:pt idx="27">
                  <c:v>1360</c:v>
                </c:pt>
                <c:pt idx="28">
                  <c:v>1230</c:v>
                </c:pt>
                <c:pt idx="29">
                  <c:v>1250</c:v>
                </c:pt>
                <c:pt idx="30">
                  <c:v>1140</c:v>
                </c:pt>
              </c:numCache>
            </c:numRef>
          </c:xVal>
          <c:yVal>
            <c:numRef>
              <c:f>Greenville!$F$3:$F$33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656</c:v>
                </c:pt>
                <c:pt idx="4">
                  <c:v>1453</c:v>
                </c:pt>
                <c:pt idx="5">
                  <c:v>8420</c:v>
                </c:pt>
                <c:pt idx="6">
                  <c:v>11530</c:v>
                </c:pt>
                <c:pt idx="7">
                  <c:v>13420</c:v>
                </c:pt>
                <c:pt idx="8">
                  <c:v>19547</c:v>
                </c:pt>
                <c:pt idx="9">
                  <c:v>29042</c:v>
                </c:pt>
                <c:pt idx="10">
                  <c:v>33579</c:v>
                </c:pt>
                <c:pt idx="11">
                  <c:v>46298.16</c:v>
                </c:pt>
                <c:pt idx="12">
                  <c:v>46275.703000000001</c:v>
                </c:pt>
                <c:pt idx="13">
                  <c:v>44496.046999999999</c:v>
                </c:pt>
                <c:pt idx="14">
                  <c:v>42156</c:v>
                </c:pt>
                <c:pt idx="15">
                  <c:v>38709</c:v>
                </c:pt>
                <c:pt idx="16">
                  <c:v>27046</c:v>
                </c:pt>
                <c:pt idx="17">
                  <c:v>22346</c:v>
                </c:pt>
                <c:pt idx="18">
                  <c:v>739.66800000000001</c:v>
                </c:pt>
                <c:pt idx="19">
                  <c:v>416.27199999999999</c:v>
                </c:pt>
                <c:pt idx="20">
                  <c:v>252.102</c:v>
                </c:pt>
                <c:pt idx="21">
                  <c:v>149.15100000000001</c:v>
                </c:pt>
                <c:pt idx="22">
                  <c:v>91.117000000000004</c:v>
                </c:pt>
                <c:pt idx="23">
                  <c:v>59.27</c:v>
                </c:pt>
                <c:pt idx="24">
                  <c:v>42.732999999999997</c:v>
                </c:pt>
                <c:pt idx="25">
                  <c:v>31.914000000000001</c:v>
                </c:pt>
                <c:pt idx="26">
                  <c:v>24.574000000000002</c:v>
                </c:pt>
                <c:pt idx="27">
                  <c:v>18.969000000000001</c:v>
                </c:pt>
                <c:pt idx="28">
                  <c:v>14.055</c:v>
                </c:pt>
                <c:pt idx="29">
                  <c:v>10.686999999999999</c:v>
                </c:pt>
                <c:pt idx="30">
                  <c:v>8.1039999999999992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F0F-4C2F-B7CE-87363C44D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1249167"/>
        <c:axId val="1881265967"/>
      </c:scatterChart>
      <c:valAx>
        <c:axId val="1881249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265967"/>
        <c:crosses val="autoZero"/>
        <c:crossBetween val="midCat"/>
      </c:valAx>
      <c:valAx>
        <c:axId val="188126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2491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384175</xdr:colOff>
      <xdr:row>3</xdr:row>
      <xdr:rowOff>47625</xdr:rowOff>
    </xdr:from>
    <xdr:to>
      <xdr:col>19</xdr:col>
      <xdr:colOff>79375</xdr:colOff>
      <xdr:row>17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FA83F8-A534-4B1E-8F7D-9F47DD62E4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215900</xdr:colOff>
      <xdr:row>19</xdr:row>
      <xdr:rowOff>12700</xdr:rowOff>
    </xdr:from>
    <xdr:to>
      <xdr:col>19</xdr:col>
      <xdr:colOff>520700</xdr:colOff>
      <xdr:row>33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E9D0FA1-9328-1C04-9D68-D94D6309B5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57149</xdr:colOff>
      <xdr:row>12</xdr:row>
      <xdr:rowOff>85724</xdr:rowOff>
    </xdr:from>
    <xdr:to>
      <xdr:col>19</xdr:col>
      <xdr:colOff>371474</xdr:colOff>
      <xdr:row>31</xdr:row>
      <xdr:rowOff>133349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03C228-EA74-4B8E-AED2-64C8D64739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352425</xdr:colOff>
      <xdr:row>32</xdr:row>
      <xdr:rowOff>101600</xdr:rowOff>
    </xdr:from>
    <xdr:to>
      <xdr:col>21</xdr:col>
      <xdr:colOff>47625</xdr:colOff>
      <xdr:row>47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4F1354-5B27-6B73-2AFF-42CCCC8AD4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590550</xdr:colOff>
      <xdr:row>8</xdr:row>
      <xdr:rowOff>47625</xdr:rowOff>
    </xdr:from>
    <xdr:to>
      <xdr:col>18</xdr:col>
      <xdr:colOff>285750</xdr:colOff>
      <xdr:row>22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3DADB4-D06A-4149-9C70-1AA6873A9E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225425</xdr:colOff>
      <xdr:row>24</xdr:row>
      <xdr:rowOff>0</xdr:rowOff>
    </xdr:from>
    <xdr:to>
      <xdr:col>20</xdr:col>
      <xdr:colOff>530225</xdr:colOff>
      <xdr:row>38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B612FB-6667-AB59-3191-5A05ABCA9F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338137</xdr:colOff>
      <xdr:row>6</xdr:row>
      <xdr:rowOff>85725</xdr:rowOff>
    </xdr:from>
    <xdr:to>
      <xdr:col>23</xdr:col>
      <xdr:colOff>28575</xdr:colOff>
      <xdr:row>25</xdr:row>
      <xdr:rowOff>85724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5BE127-5834-43AF-839A-408EFE1599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66675</xdr:colOff>
      <xdr:row>34</xdr:row>
      <xdr:rowOff>19050</xdr:rowOff>
    </xdr:from>
    <xdr:to>
      <xdr:col>18</xdr:col>
      <xdr:colOff>371475</xdr:colOff>
      <xdr:row>49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5075BB-88BA-40C8-D599-66D7C1D761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338137</xdr:colOff>
      <xdr:row>6</xdr:row>
      <xdr:rowOff>85725</xdr:rowOff>
    </xdr:from>
    <xdr:to>
      <xdr:col>23</xdr:col>
      <xdr:colOff>28575</xdr:colOff>
      <xdr:row>25</xdr:row>
      <xdr:rowOff>85724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EDDE02-03CC-45D1-B79E-C0BBD81F89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66675</xdr:colOff>
      <xdr:row>34</xdr:row>
      <xdr:rowOff>19050</xdr:rowOff>
    </xdr:from>
    <xdr:to>
      <xdr:col>18</xdr:col>
      <xdr:colOff>371475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3696C8-9628-4403-B54B-EADD3A4E78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BDD5F-BC72-4FC3-B927-A803009C6599}">
  <dimension ref="C1:M41"/>
  <sheetViews>
    <sheetView topLeftCell="A4" workbookViewId="0">
      <selection activeCell="K15" sqref="K15"/>
    </sheetView>
  </sheetViews>
  <sheetFormatPr defaultRowHeight="15" x14ac:dyDescent="0.25"/>
  <cols>
    <col min="7" max="7" width="13.140625" customWidth="1"/>
  </cols>
  <sheetData>
    <row r="1" spans="3:11" x14ac:dyDescent="0.25">
      <c r="C1" t="s">
        <v>0</v>
      </c>
      <c r="J1" s="6" t="s">
        <v>52</v>
      </c>
    </row>
    <row r="2" spans="3:11" x14ac:dyDescent="0.25">
      <c r="C2" s="1" t="s">
        <v>1</v>
      </c>
      <c r="D2" s="1" t="s">
        <v>2</v>
      </c>
      <c r="E2" t="s">
        <v>3</v>
      </c>
      <c r="F2" t="s">
        <v>4</v>
      </c>
      <c r="G2" t="s">
        <v>5</v>
      </c>
      <c r="H2" t="s">
        <v>6</v>
      </c>
      <c r="J2" s="5" t="s">
        <v>2</v>
      </c>
      <c r="K2" s="6" t="s">
        <v>3</v>
      </c>
    </row>
    <row r="3" spans="3:11" x14ac:dyDescent="0.25">
      <c r="C3" t="s">
        <v>7</v>
      </c>
      <c r="D3">
        <v>0</v>
      </c>
      <c r="E3">
        <v>206</v>
      </c>
      <c r="F3">
        <f>(D3-E3)^2</f>
        <v>42436</v>
      </c>
      <c r="G3">
        <f>(D3-$D$34)^2</f>
        <v>727955.64361002797</v>
      </c>
      <c r="H3">
        <f>E3-D3</f>
        <v>206</v>
      </c>
      <c r="I3">
        <f>D3-E3</f>
        <v>-206</v>
      </c>
      <c r="J3">
        <f>0.028317*D3</f>
        <v>0</v>
      </c>
      <c r="K3">
        <f>0.028317*E3</f>
        <v>5.8333019999999998</v>
      </c>
    </row>
    <row r="4" spans="3:11" x14ac:dyDescent="0.25">
      <c r="C4" t="s">
        <v>8</v>
      </c>
      <c r="D4">
        <v>0</v>
      </c>
      <c r="E4">
        <v>166</v>
      </c>
      <c r="F4">
        <f t="shared" ref="F4:F33" si="0">(D4-E4)^2</f>
        <v>27556</v>
      </c>
      <c r="G4">
        <f t="shared" ref="G4:G32" si="1">(D4-$D$34)^2</f>
        <v>727955.64361002797</v>
      </c>
      <c r="H4">
        <f t="shared" ref="H4:H33" si="2">E4-D4</f>
        <v>166</v>
      </c>
      <c r="I4">
        <f t="shared" ref="I4:I33" si="3">D4-E4</f>
        <v>-166</v>
      </c>
      <c r="J4">
        <f t="shared" ref="J4:J33" si="4">0.028317*D4</f>
        <v>0</v>
      </c>
      <c r="K4">
        <f t="shared" ref="K4:K33" si="5">0.028317*E4</f>
        <v>4.7006220000000001</v>
      </c>
    </row>
    <row r="5" spans="3:11" x14ac:dyDescent="0.25">
      <c r="C5" t="s">
        <v>9</v>
      </c>
      <c r="D5">
        <v>0</v>
      </c>
      <c r="E5">
        <v>92.2</v>
      </c>
      <c r="F5">
        <f t="shared" si="0"/>
        <v>8500.84</v>
      </c>
      <c r="G5">
        <f t="shared" si="1"/>
        <v>727955.64361002797</v>
      </c>
      <c r="H5">
        <f t="shared" si="2"/>
        <v>92.2</v>
      </c>
      <c r="I5">
        <f t="shared" si="3"/>
        <v>-92.2</v>
      </c>
      <c r="J5">
        <f t="shared" si="4"/>
        <v>0</v>
      </c>
      <c r="K5">
        <f t="shared" si="5"/>
        <v>2.6108273999999998</v>
      </c>
    </row>
    <row r="6" spans="3:11" x14ac:dyDescent="0.25">
      <c r="C6" t="s">
        <v>10</v>
      </c>
      <c r="D6">
        <v>0</v>
      </c>
      <c r="E6">
        <v>57.7</v>
      </c>
      <c r="F6">
        <f t="shared" si="0"/>
        <v>3329.2900000000004</v>
      </c>
      <c r="G6">
        <f t="shared" si="1"/>
        <v>727955.64361002797</v>
      </c>
      <c r="H6">
        <f t="shared" si="2"/>
        <v>57.7</v>
      </c>
      <c r="I6">
        <f t="shared" si="3"/>
        <v>-57.7</v>
      </c>
      <c r="J6">
        <f t="shared" si="4"/>
        <v>0</v>
      </c>
      <c r="K6">
        <f t="shared" si="5"/>
        <v>1.6338908999999999</v>
      </c>
    </row>
    <row r="7" spans="3:11" x14ac:dyDescent="0.25">
      <c r="C7" t="s">
        <v>11</v>
      </c>
      <c r="D7">
        <v>0</v>
      </c>
      <c r="E7">
        <v>42.9</v>
      </c>
      <c r="F7">
        <f t="shared" si="0"/>
        <v>1840.4099999999999</v>
      </c>
      <c r="G7">
        <f t="shared" si="1"/>
        <v>727955.64361002797</v>
      </c>
      <c r="H7">
        <f t="shared" si="2"/>
        <v>42.9</v>
      </c>
      <c r="I7">
        <f t="shared" si="3"/>
        <v>-42.9</v>
      </c>
      <c r="J7">
        <f t="shared" si="4"/>
        <v>0</v>
      </c>
      <c r="K7">
        <f t="shared" si="5"/>
        <v>1.2147992999999999</v>
      </c>
    </row>
    <row r="8" spans="3:11" x14ac:dyDescent="0.25">
      <c r="C8" t="s">
        <v>12</v>
      </c>
      <c r="D8">
        <v>0</v>
      </c>
      <c r="E8">
        <v>32.9</v>
      </c>
      <c r="F8">
        <f t="shared" si="0"/>
        <v>1082.4099999999999</v>
      </c>
      <c r="G8">
        <f t="shared" si="1"/>
        <v>727955.64361002797</v>
      </c>
      <c r="H8">
        <f t="shared" si="2"/>
        <v>32.9</v>
      </c>
      <c r="I8">
        <f t="shared" si="3"/>
        <v>-32.9</v>
      </c>
      <c r="J8">
        <f t="shared" si="4"/>
        <v>0</v>
      </c>
      <c r="K8">
        <f t="shared" si="5"/>
        <v>0.93162929999999988</v>
      </c>
    </row>
    <row r="9" spans="3:11" x14ac:dyDescent="0.25">
      <c r="C9" t="s">
        <v>13</v>
      </c>
      <c r="D9">
        <v>6.3460000000000001</v>
      </c>
      <c r="E9">
        <v>29.4</v>
      </c>
      <c r="F9">
        <f t="shared" si="0"/>
        <v>531.48691599999995</v>
      </c>
      <c r="G9">
        <f t="shared" si="1"/>
        <v>717167.06073469459</v>
      </c>
      <c r="H9">
        <f t="shared" si="2"/>
        <v>23.053999999999998</v>
      </c>
      <c r="I9">
        <f t="shared" si="3"/>
        <v>-23.053999999999998</v>
      </c>
      <c r="J9">
        <f t="shared" si="4"/>
        <v>0.179699682</v>
      </c>
      <c r="K9">
        <f t="shared" si="5"/>
        <v>0.83251979999999992</v>
      </c>
    </row>
    <row r="10" spans="3:11" x14ac:dyDescent="0.25">
      <c r="C10" t="s">
        <v>14</v>
      </c>
      <c r="D10">
        <v>6330.1319999999996</v>
      </c>
      <c r="E10">
        <v>6650</v>
      </c>
      <c r="F10">
        <f t="shared" si="0"/>
        <v>102315.53742400026</v>
      </c>
      <c r="G10">
        <f t="shared" si="1"/>
        <v>29996749.445398018</v>
      </c>
      <c r="H10">
        <f t="shared" si="2"/>
        <v>319.86800000000039</v>
      </c>
      <c r="I10">
        <f t="shared" si="3"/>
        <v>-319.86800000000039</v>
      </c>
      <c r="J10">
        <f t="shared" si="4"/>
        <v>179.25034784399998</v>
      </c>
      <c r="K10">
        <f t="shared" si="5"/>
        <v>188.30804999999998</v>
      </c>
    </row>
    <row r="11" spans="3:11" x14ac:dyDescent="0.25">
      <c r="C11" t="s">
        <v>15</v>
      </c>
      <c r="D11">
        <v>12974.588</v>
      </c>
      <c r="E11">
        <v>11500</v>
      </c>
      <c r="F11">
        <f t="shared" si="0"/>
        <v>2174409.769743999</v>
      </c>
      <c r="G11">
        <f t="shared" si="1"/>
        <v>146927970.27776337</v>
      </c>
      <c r="H11">
        <f t="shared" si="2"/>
        <v>-1474.5879999999997</v>
      </c>
      <c r="I11">
        <f>D11-E11</f>
        <v>1474.5879999999997</v>
      </c>
      <c r="J11">
        <f>0.028317*D11</f>
        <v>367.40140839599997</v>
      </c>
      <c r="K11">
        <f t="shared" si="5"/>
        <v>325.64549999999997</v>
      </c>
    </row>
    <row r="12" spans="3:11" x14ac:dyDescent="0.25">
      <c r="C12" t="s">
        <v>16</v>
      </c>
      <c r="D12">
        <v>5236.8680000000004</v>
      </c>
      <c r="E12">
        <v>5260</v>
      </c>
      <c r="F12">
        <f t="shared" si="0"/>
        <v>535.08942399998182</v>
      </c>
      <c r="G12">
        <f t="shared" si="1"/>
        <v>19216517.37100336</v>
      </c>
      <c r="H12">
        <f t="shared" si="2"/>
        <v>23.131999999999607</v>
      </c>
      <c r="I12">
        <f t="shared" si="3"/>
        <v>-23.131999999999607</v>
      </c>
      <c r="J12">
        <f t="shared" si="4"/>
        <v>148.29239115600001</v>
      </c>
      <c r="K12">
        <f t="shared" si="5"/>
        <v>148.94741999999999</v>
      </c>
    </row>
    <row r="13" spans="3:11" x14ac:dyDescent="0.25">
      <c r="C13" t="s">
        <v>17</v>
      </c>
      <c r="D13">
        <v>426.17700000000002</v>
      </c>
      <c r="E13">
        <v>342</v>
      </c>
      <c r="F13">
        <f t="shared" si="0"/>
        <v>7085.7673290000039</v>
      </c>
      <c r="G13">
        <f t="shared" si="1"/>
        <v>182351.34701802785</v>
      </c>
      <c r="H13">
        <f t="shared" si="2"/>
        <v>-84.177000000000021</v>
      </c>
      <c r="I13">
        <f t="shared" si="3"/>
        <v>84.177000000000021</v>
      </c>
      <c r="J13">
        <f t="shared" si="4"/>
        <v>12.068054109</v>
      </c>
      <c r="K13">
        <f t="shared" si="5"/>
        <v>9.6844140000000003</v>
      </c>
    </row>
    <row r="14" spans="3:11" x14ac:dyDescent="0.25">
      <c r="C14" t="s">
        <v>18</v>
      </c>
      <c r="D14">
        <v>155.80699999999999</v>
      </c>
      <c r="E14">
        <v>189</v>
      </c>
      <c r="F14">
        <f t="shared" si="0"/>
        <v>1101.7752490000007</v>
      </c>
      <c r="G14">
        <f t="shared" si="1"/>
        <v>486361.41328136128</v>
      </c>
      <c r="H14">
        <f t="shared" si="2"/>
        <v>33.193000000000012</v>
      </c>
      <c r="I14">
        <f t="shared" si="3"/>
        <v>-33.193000000000012</v>
      </c>
      <c r="J14">
        <f t="shared" si="4"/>
        <v>4.4119868189999991</v>
      </c>
      <c r="K14">
        <f t="shared" si="5"/>
        <v>5.3519129999999997</v>
      </c>
    </row>
    <row r="15" spans="3:11" x14ac:dyDescent="0.25">
      <c r="C15" t="s">
        <v>19</v>
      </c>
      <c r="D15">
        <v>89.808000000000007</v>
      </c>
      <c r="E15">
        <v>140</v>
      </c>
      <c r="F15">
        <f t="shared" si="0"/>
        <v>2519.2368639999995</v>
      </c>
      <c r="G15">
        <f t="shared" si="1"/>
        <v>582772.180490028</v>
      </c>
      <c r="H15">
        <f t="shared" si="2"/>
        <v>50.191999999999993</v>
      </c>
      <c r="I15">
        <f t="shared" si="3"/>
        <v>-50.191999999999993</v>
      </c>
      <c r="J15">
        <f t="shared" si="4"/>
        <v>2.543093136</v>
      </c>
      <c r="K15">
        <f t="shared" si="5"/>
        <v>3.9643799999999998</v>
      </c>
    </row>
    <row r="16" spans="3:11" x14ac:dyDescent="0.25">
      <c r="C16" t="s">
        <v>20</v>
      </c>
      <c r="D16">
        <v>64.13</v>
      </c>
      <c r="E16">
        <v>109</v>
      </c>
      <c r="F16">
        <f t="shared" si="0"/>
        <v>2013.3169000000005</v>
      </c>
      <c r="G16">
        <f t="shared" si="1"/>
        <v>622636.4623533613</v>
      </c>
      <c r="H16">
        <f t="shared" si="2"/>
        <v>44.870000000000005</v>
      </c>
      <c r="I16">
        <f t="shared" si="3"/>
        <v>-44.870000000000005</v>
      </c>
      <c r="J16">
        <f t="shared" si="4"/>
        <v>1.8159692099999998</v>
      </c>
      <c r="K16">
        <f t="shared" si="5"/>
        <v>3.0865529999999999</v>
      </c>
    </row>
    <row r="17" spans="3:13" x14ac:dyDescent="0.25">
      <c r="C17" t="s">
        <v>21</v>
      </c>
      <c r="D17">
        <v>48.7</v>
      </c>
      <c r="E17">
        <v>89.7</v>
      </c>
      <c r="F17">
        <f t="shared" si="0"/>
        <v>1681</v>
      </c>
      <c r="G17">
        <f t="shared" si="1"/>
        <v>647225.34517669457</v>
      </c>
      <c r="H17">
        <f t="shared" si="2"/>
        <v>41</v>
      </c>
      <c r="I17">
        <f t="shared" si="3"/>
        <v>-41</v>
      </c>
      <c r="J17">
        <f t="shared" si="4"/>
        <v>1.3790378999999999</v>
      </c>
      <c r="K17">
        <f t="shared" si="5"/>
        <v>2.5400348999999998</v>
      </c>
    </row>
    <row r="18" spans="3:13" x14ac:dyDescent="0.25">
      <c r="C18" t="s">
        <v>22</v>
      </c>
      <c r="D18">
        <v>38.859000000000002</v>
      </c>
      <c r="E18">
        <v>68.400000000000006</v>
      </c>
      <c r="F18">
        <f t="shared" si="0"/>
        <v>872.67068100000029</v>
      </c>
      <c r="G18">
        <f t="shared" si="1"/>
        <v>663156.42178402795</v>
      </c>
      <c r="H18">
        <f t="shared" si="2"/>
        <v>29.541000000000004</v>
      </c>
      <c r="I18">
        <f t="shared" si="3"/>
        <v>-29.541000000000004</v>
      </c>
      <c r="J18">
        <f t="shared" si="4"/>
        <v>1.100370303</v>
      </c>
      <c r="K18">
        <f t="shared" si="5"/>
        <v>1.9368828</v>
      </c>
    </row>
    <row r="19" spans="3:13" x14ac:dyDescent="0.25">
      <c r="C19" t="s">
        <v>23</v>
      </c>
      <c r="D19">
        <v>32.405999999999999</v>
      </c>
      <c r="E19">
        <v>60.3</v>
      </c>
      <c r="F19">
        <f t="shared" si="0"/>
        <v>778.0752359999999</v>
      </c>
      <c r="G19">
        <f t="shared" si="1"/>
        <v>673707.98880802805</v>
      </c>
      <c r="H19">
        <f t="shared" si="2"/>
        <v>27.893999999999998</v>
      </c>
      <c r="I19">
        <f t="shared" si="3"/>
        <v>-27.893999999999998</v>
      </c>
      <c r="J19">
        <f t="shared" si="4"/>
        <v>0.91764070199999992</v>
      </c>
      <c r="K19">
        <f t="shared" si="5"/>
        <v>1.7075150999999997</v>
      </c>
    </row>
    <row r="20" spans="3:13" x14ac:dyDescent="0.25">
      <c r="C20" t="s">
        <v>24</v>
      </c>
      <c r="D20">
        <v>27.231000000000002</v>
      </c>
      <c r="E20">
        <v>54.2</v>
      </c>
      <c r="F20">
        <f t="shared" si="0"/>
        <v>727.3269610000001</v>
      </c>
      <c r="G20">
        <f t="shared" si="1"/>
        <v>682230.02010802797</v>
      </c>
      <c r="H20">
        <f t="shared" si="2"/>
        <v>26.969000000000001</v>
      </c>
      <c r="I20">
        <f t="shared" si="3"/>
        <v>-26.969000000000001</v>
      </c>
      <c r="J20">
        <f t="shared" si="4"/>
        <v>0.77110022700000003</v>
      </c>
      <c r="K20">
        <f t="shared" si="5"/>
        <v>1.5347814</v>
      </c>
    </row>
    <row r="21" spans="3:13" x14ac:dyDescent="0.25">
      <c r="C21" t="s">
        <v>25</v>
      </c>
      <c r="D21">
        <v>23.440999999999999</v>
      </c>
      <c r="E21">
        <v>48.4</v>
      </c>
      <c r="F21">
        <f t="shared" si="0"/>
        <v>622.95168100000001</v>
      </c>
      <c r="G21">
        <f t="shared" si="1"/>
        <v>688505.25323136128</v>
      </c>
      <c r="H21">
        <f t="shared" si="2"/>
        <v>24.959</v>
      </c>
      <c r="I21">
        <f t="shared" si="3"/>
        <v>-24.959</v>
      </c>
      <c r="J21">
        <f t="shared" si="4"/>
        <v>0.66377879699999998</v>
      </c>
      <c r="K21">
        <f t="shared" si="5"/>
        <v>1.3705427999999999</v>
      </c>
    </row>
    <row r="22" spans="3:13" x14ac:dyDescent="0.25">
      <c r="C22" t="s">
        <v>26</v>
      </c>
      <c r="D22">
        <v>20.556000000000001</v>
      </c>
      <c r="E22">
        <v>45.1</v>
      </c>
      <c r="F22">
        <f t="shared" si="0"/>
        <v>602.40793600000006</v>
      </c>
      <c r="G22">
        <f t="shared" si="1"/>
        <v>693301.30415802787</v>
      </c>
      <c r="H22">
        <f t="shared" si="2"/>
        <v>24.544</v>
      </c>
      <c r="I22">
        <f t="shared" si="3"/>
        <v>-24.544</v>
      </c>
      <c r="J22">
        <f t="shared" si="4"/>
        <v>0.58208425200000002</v>
      </c>
      <c r="K22">
        <f t="shared" si="5"/>
        <v>1.2770967</v>
      </c>
    </row>
    <row r="23" spans="3:13" x14ac:dyDescent="0.25">
      <c r="C23" t="s">
        <v>27</v>
      </c>
      <c r="D23">
        <v>18.119</v>
      </c>
      <c r="E23">
        <v>41.8</v>
      </c>
      <c r="F23">
        <f t="shared" si="0"/>
        <v>560.78976099999988</v>
      </c>
      <c r="G23">
        <f t="shared" si="1"/>
        <v>697365.56541736121</v>
      </c>
      <c r="H23">
        <f t="shared" si="2"/>
        <v>23.680999999999997</v>
      </c>
      <c r="I23">
        <f t="shared" si="3"/>
        <v>-23.680999999999997</v>
      </c>
      <c r="J23">
        <f t="shared" si="4"/>
        <v>0.51307572299999993</v>
      </c>
      <c r="K23">
        <f t="shared" si="5"/>
        <v>1.1836505999999998</v>
      </c>
    </row>
    <row r="24" spans="3:13" x14ac:dyDescent="0.25">
      <c r="C24" t="s">
        <v>28</v>
      </c>
      <c r="D24">
        <v>16.227</v>
      </c>
      <c r="E24">
        <v>37</v>
      </c>
      <c r="F24">
        <f t="shared" si="0"/>
        <v>431.51752899999997</v>
      </c>
      <c r="G24">
        <f t="shared" si="1"/>
        <v>700529.10356802808</v>
      </c>
      <c r="H24">
        <f t="shared" si="2"/>
        <v>20.773</v>
      </c>
      <c r="I24">
        <f t="shared" si="3"/>
        <v>-20.773</v>
      </c>
      <c r="J24">
        <f t="shared" si="4"/>
        <v>0.45949995899999996</v>
      </c>
      <c r="K24">
        <f t="shared" si="5"/>
        <v>1.0477289999999999</v>
      </c>
    </row>
    <row r="25" spans="3:13" x14ac:dyDescent="0.25">
      <c r="C25" t="s">
        <v>29</v>
      </c>
      <c r="D25">
        <v>14.522</v>
      </c>
      <c r="E25">
        <v>32.9</v>
      </c>
      <c r="F25">
        <f t="shared" si="0"/>
        <v>337.75088399999999</v>
      </c>
      <c r="G25">
        <f t="shared" si="1"/>
        <v>703386.09932136128</v>
      </c>
      <c r="H25">
        <f t="shared" si="2"/>
        <v>18.378</v>
      </c>
      <c r="I25">
        <f t="shared" si="3"/>
        <v>-18.378</v>
      </c>
      <c r="J25">
        <f t="shared" si="4"/>
        <v>0.41121947399999997</v>
      </c>
      <c r="K25">
        <f t="shared" si="5"/>
        <v>0.93162929999999988</v>
      </c>
      <c r="L25" s="2" t="s">
        <v>38</v>
      </c>
      <c r="M25" s="14">
        <v>0.98887012085662662</v>
      </c>
    </row>
    <row r="26" spans="3:13" x14ac:dyDescent="0.25">
      <c r="C26" t="s">
        <v>30</v>
      </c>
      <c r="D26">
        <v>13.141</v>
      </c>
      <c r="E26">
        <v>30.9</v>
      </c>
      <c r="F26">
        <f t="shared" si="0"/>
        <v>315.38208100000003</v>
      </c>
      <c r="G26">
        <f t="shared" si="1"/>
        <v>705704.44386469468</v>
      </c>
      <c r="H26">
        <f t="shared" si="2"/>
        <v>17.759</v>
      </c>
      <c r="I26">
        <f t="shared" si="3"/>
        <v>-17.759</v>
      </c>
      <c r="J26">
        <f t="shared" si="4"/>
        <v>0.37211369699999997</v>
      </c>
      <c r="K26">
        <f t="shared" si="5"/>
        <v>0.87499529999999992</v>
      </c>
      <c r="L26" s="2" t="s">
        <v>39</v>
      </c>
      <c r="M26" s="14">
        <v>0.99426173640248738</v>
      </c>
    </row>
    <row r="27" spans="3:13" x14ac:dyDescent="0.25">
      <c r="C27" t="s">
        <v>31</v>
      </c>
      <c r="D27">
        <v>12.006</v>
      </c>
      <c r="E27">
        <v>28.5</v>
      </c>
      <c r="F27">
        <f t="shared" si="0"/>
        <v>272.05203599999999</v>
      </c>
      <c r="G27">
        <f t="shared" si="1"/>
        <v>707612.67320802808</v>
      </c>
      <c r="H27">
        <f t="shared" si="2"/>
        <v>16.494</v>
      </c>
      <c r="I27">
        <f t="shared" si="3"/>
        <v>-16.494</v>
      </c>
      <c r="J27">
        <f t="shared" si="4"/>
        <v>0.33997390199999999</v>
      </c>
      <c r="K27">
        <f t="shared" si="5"/>
        <v>0.80703449999999999</v>
      </c>
      <c r="L27" s="2" t="s">
        <v>50</v>
      </c>
      <c r="M27" s="15">
        <v>0.10723534432390473</v>
      </c>
    </row>
    <row r="28" spans="3:13" x14ac:dyDescent="0.25">
      <c r="C28" t="s">
        <v>32</v>
      </c>
      <c r="D28">
        <v>10.930999999999999</v>
      </c>
      <c r="E28">
        <v>28</v>
      </c>
      <c r="F28">
        <f t="shared" si="0"/>
        <v>291.35076100000009</v>
      </c>
      <c r="G28">
        <f t="shared" si="1"/>
        <v>709422.40274136129</v>
      </c>
      <c r="H28">
        <f t="shared" si="2"/>
        <v>17.069000000000003</v>
      </c>
      <c r="I28">
        <f t="shared" si="3"/>
        <v>-17.069000000000003</v>
      </c>
      <c r="J28">
        <f t="shared" si="4"/>
        <v>0.30953312699999996</v>
      </c>
      <c r="K28">
        <f t="shared" si="5"/>
        <v>0.79287599999999991</v>
      </c>
    </row>
    <row r="29" spans="3:13" x14ac:dyDescent="0.25">
      <c r="C29" t="s">
        <v>33</v>
      </c>
      <c r="D29">
        <v>10.041</v>
      </c>
      <c r="E29">
        <v>26.5</v>
      </c>
      <c r="F29">
        <f t="shared" si="0"/>
        <v>270.89868100000001</v>
      </c>
      <c r="G29">
        <f t="shared" si="1"/>
        <v>710922.43929802789</v>
      </c>
      <c r="H29">
        <f t="shared" si="2"/>
        <v>16.459</v>
      </c>
      <c r="I29">
        <f t="shared" si="3"/>
        <v>-16.459</v>
      </c>
      <c r="J29">
        <f t="shared" si="4"/>
        <v>0.28433099699999997</v>
      </c>
      <c r="K29">
        <f t="shared" si="5"/>
        <v>0.75040049999999991</v>
      </c>
    </row>
    <row r="30" spans="3:13" x14ac:dyDescent="0.25">
      <c r="C30" t="s">
        <v>34</v>
      </c>
      <c r="D30">
        <v>9.2720000000000002</v>
      </c>
      <c r="E30">
        <v>26.5</v>
      </c>
      <c r="F30">
        <f t="shared" si="0"/>
        <v>296.80398400000007</v>
      </c>
      <c r="G30">
        <f t="shared" si="1"/>
        <v>712219.81407136121</v>
      </c>
      <c r="H30">
        <f t="shared" si="2"/>
        <v>17.228000000000002</v>
      </c>
      <c r="I30">
        <f t="shared" si="3"/>
        <v>-17.228000000000002</v>
      </c>
      <c r="J30">
        <f t="shared" si="4"/>
        <v>0.26255522399999998</v>
      </c>
      <c r="K30">
        <f t="shared" si="5"/>
        <v>0.75040049999999991</v>
      </c>
    </row>
    <row r="31" spans="3:13" x14ac:dyDescent="0.25">
      <c r="C31" t="s">
        <v>35</v>
      </c>
      <c r="D31">
        <v>8.6639999999999997</v>
      </c>
      <c r="E31">
        <v>26.5</v>
      </c>
      <c r="F31">
        <f t="shared" si="0"/>
        <v>318.12289599999997</v>
      </c>
      <c r="G31">
        <f t="shared" si="1"/>
        <v>713246.40403402806</v>
      </c>
      <c r="H31">
        <f t="shared" si="2"/>
        <v>17.835999999999999</v>
      </c>
      <c r="I31">
        <f t="shared" si="3"/>
        <v>-17.835999999999999</v>
      </c>
      <c r="J31">
        <f t="shared" si="4"/>
        <v>0.24533848799999997</v>
      </c>
      <c r="K31">
        <f t="shared" si="5"/>
        <v>0.75040049999999991</v>
      </c>
    </row>
    <row r="32" spans="3:13" x14ac:dyDescent="0.25">
      <c r="C32" t="s">
        <v>36</v>
      </c>
      <c r="D32">
        <v>8.1229999999999993</v>
      </c>
      <c r="E32">
        <v>26.5</v>
      </c>
      <c r="F32">
        <f t="shared" si="0"/>
        <v>337.71412900000007</v>
      </c>
      <c r="G32">
        <f t="shared" si="1"/>
        <v>714160.48809336126</v>
      </c>
      <c r="H32">
        <f t="shared" si="2"/>
        <v>18.377000000000002</v>
      </c>
      <c r="I32">
        <f t="shared" si="3"/>
        <v>-18.377000000000002</v>
      </c>
      <c r="J32">
        <f t="shared" si="4"/>
        <v>0.23001899099999998</v>
      </c>
      <c r="K32">
        <f t="shared" si="5"/>
        <v>0.75040049999999991</v>
      </c>
    </row>
    <row r="33" spans="3:11" x14ac:dyDescent="0.25">
      <c r="C33" t="s">
        <v>37</v>
      </c>
      <c r="D33">
        <v>7.6260000000000003</v>
      </c>
      <c r="E33">
        <v>25</v>
      </c>
      <c r="F33">
        <f t="shared" si="0"/>
        <v>301.85587599999997</v>
      </c>
      <c r="H33">
        <f t="shared" si="2"/>
        <v>17.373999999999999</v>
      </c>
      <c r="I33">
        <f t="shared" si="3"/>
        <v>-17.373999999999999</v>
      </c>
      <c r="J33">
        <f t="shared" si="4"/>
        <v>0.21594544199999999</v>
      </c>
      <c r="K33">
        <f t="shared" si="5"/>
        <v>0.70792499999999992</v>
      </c>
    </row>
    <row r="34" spans="3:11" x14ac:dyDescent="0.25">
      <c r="D34">
        <f>AVERAGE(D3:D32)</f>
        <v>853.20316666666679</v>
      </c>
      <c r="E34">
        <f>AVERAGE(E3:E33)</f>
        <v>823.00967741935494</v>
      </c>
      <c r="F34">
        <f>SUM(F3:F33)</f>
        <v>2384275.6009629997</v>
      </c>
      <c r="G34">
        <f>SUM(G3:G33)</f>
        <v>214222955.18658608</v>
      </c>
      <c r="H34">
        <f>SUM(H3:H33)</f>
        <v>-90.420999999999879</v>
      </c>
      <c r="I34">
        <f>SUM(I3:I33)</f>
        <v>90.420999999999879</v>
      </c>
      <c r="J34" s="6">
        <f>MAX(J3:J33)</f>
        <v>367.40140839599997</v>
      </c>
      <c r="K34" s="6">
        <f>MAX(K3:K33)</f>
        <v>325.64549999999997</v>
      </c>
    </row>
    <row r="35" spans="3:11" x14ac:dyDescent="0.25">
      <c r="D35">
        <f>SUM(D3:D33)</f>
        <v>25603.721000000005</v>
      </c>
      <c r="F35" s="6"/>
      <c r="G35" s="6">
        <f>COUNT(D3:D33)</f>
        <v>31</v>
      </c>
    </row>
    <row r="36" spans="3:11" x14ac:dyDescent="0.25">
      <c r="C36" s="2" t="s">
        <v>38</v>
      </c>
      <c r="D36" s="2">
        <f>1-(F34/G34)</f>
        <v>0.98887012085662662</v>
      </c>
      <c r="G36">
        <f>G34/G35</f>
        <v>6910417.9092447124</v>
      </c>
    </row>
    <row r="37" spans="3:11" x14ac:dyDescent="0.25">
      <c r="C37" s="2" t="s">
        <v>39</v>
      </c>
      <c r="D37" s="2">
        <f>RSQ(D3:D32,E3:E32)</f>
        <v>0.99426173640248738</v>
      </c>
      <c r="F37" s="6" t="s">
        <v>49</v>
      </c>
      <c r="G37" s="6">
        <f>G36^0.5</f>
        <v>2628.7673745017287</v>
      </c>
    </row>
    <row r="38" spans="3:11" x14ac:dyDescent="0.25">
      <c r="C38" s="2" t="s">
        <v>40</v>
      </c>
      <c r="D38" s="2">
        <f>CORREL(D3:D32,E3:E32)</f>
        <v>0.99712674039085314</v>
      </c>
    </row>
    <row r="39" spans="3:11" x14ac:dyDescent="0.25">
      <c r="C39" s="2" t="s">
        <v>41</v>
      </c>
      <c r="D39" s="3">
        <f>(AVERAGE(F3:F32))^0.5</f>
        <v>281.8967745521399</v>
      </c>
    </row>
    <row r="40" spans="3:11" x14ac:dyDescent="0.25">
      <c r="C40" s="2" t="s">
        <v>50</v>
      </c>
      <c r="D40">
        <f>D39/G37</f>
        <v>0.10723534432390473</v>
      </c>
    </row>
    <row r="41" spans="3:11" x14ac:dyDescent="0.25">
      <c r="C41" s="2" t="s">
        <v>42</v>
      </c>
      <c r="D41" s="4">
        <f>H34/D35</f>
        <v>-3.5315569951726885E-3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49E9A-6BE7-4428-99CF-2F897B5699A6}">
  <dimension ref="A1:M42"/>
  <sheetViews>
    <sheetView topLeftCell="A10" workbookViewId="0">
      <selection activeCell="H35" sqref="H35"/>
    </sheetView>
  </sheetViews>
  <sheetFormatPr defaultRowHeight="15" x14ac:dyDescent="0.25"/>
  <cols>
    <col min="1" max="1" width="16.28515625" customWidth="1"/>
    <col min="5" max="5" width="14.42578125" customWidth="1"/>
  </cols>
  <sheetData>
    <row r="1" spans="1:9" x14ac:dyDescent="0.25">
      <c r="A1" s="5" t="s">
        <v>43</v>
      </c>
    </row>
    <row r="2" spans="1:9" x14ac:dyDescent="0.25">
      <c r="H2" s="6" t="s">
        <v>52</v>
      </c>
    </row>
    <row r="3" spans="1:9" x14ac:dyDescent="0.25">
      <c r="A3" s="5" t="s">
        <v>44</v>
      </c>
      <c r="B3" s="6" t="s">
        <v>2</v>
      </c>
      <c r="C3" s="6" t="s">
        <v>3</v>
      </c>
      <c r="D3" s="6" t="s">
        <v>45</v>
      </c>
      <c r="E3" s="6" t="s">
        <v>46</v>
      </c>
      <c r="F3" s="6" t="s">
        <v>6</v>
      </c>
      <c r="H3" s="5" t="s">
        <v>2</v>
      </c>
      <c r="I3" s="6" t="s">
        <v>3</v>
      </c>
    </row>
    <row r="4" spans="1:9" x14ac:dyDescent="0.25">
      <c r="A4" s="7">
        <v>42644</v>
      </c>
      <c r="B4">
        <v>410</v>
      </c>
      <c r="C4">
        <v>0</v>
      </c>
      <c r="D4">
        <f>(B4-C4)^2</f>
        <v>168100</v>
      </c>
      <c r="E4">
        <f>(B4-$B$35)^2</f>
        <v>822122.43912591063</v>
      </c>
      <c r="F4">
        <f>C4-B4</f>
        <v>-410</v>
      </c>
      <c r="G4">
        <f>B4-C4</f>
        <v>410</v>
      </c>
      <c r="H4">
        <f>0.028317*B4</f>
        <v>11.609969999999999</v>
      </c>
      <c r="I4">
        <f>0.028317*C4</f>
        <v>0</v>
      </c>
    </row>
    <row r="5" spans="1:9" x14ac:dyDescent="0.25">
      <c r="A5" s="7">
        <v>42645</v>
      </c>
      <c r="B5">
        <v>446</v>
      </c>
      <c r="C5">
        <v>0</v>
      </c>
      <c r="D5">
        <f t="shared" ref="D5:D34" si="0">(B5-C5)^2</f>
        <v>198916</v>
      </c>
      <c r="E5">
        <f t="shared" ref="E5:E34" si="1">(B5-$J$34)^2</f>
        <v>198916</v>
      </c>
      <c r="F5">
        <f t="shared" ref="F5:F34" si="2">C5-B5</f>
        <v>-446</v>
      </c>
      <c r="G5">
        <f t="shared" ref="G5:G33" si="3">B5-C5</f>
        <v>446</v>
      </c>
      <c r="H5">
        <f t="shared" ref="H5:I34" si="4">0.028317*B5</f>
        <v>12.629382</v>
      </c>
      <c r="I5">
        <f t="shared" si="4"/>
        <v>0</v>
      </c>
    </row>
    <row r="6" spans="1:9" x14ac:dyDescent="0.25">
      <c r="A6" s="7">
        <v>42646</v>
      </c>
      <c r="B6">
        <v>157</v>
      </c>
      <c r="C6">
        <v>0</v>
      </c>
      <c r="D6">
        <f t="shared" si="0"/>
        <v>24649</v>
      </c>
      <c r="E6">
        <f t="shared" si="1"/>
        <v>24649</v>
      </c>
      <c r="F6">
        <f t="shared" si="2"/>
        <v>-157</v>
      </c>
      <c r="G6">
        <f t="shared" si="3"/>
        <v>157</v>
      </c>
      <c r="H6">
        <f t="shared" si="4"/>
        <v>4.4457689999999994</v>
      </c>
      <c r="I6">
        <f t="shared" si="4"/>
        <v>0</v>
      </c>
    </row>
    <row r="7" spans="1:9" x14ac:dyDescent="0.25">
      <c r="A7" s="7">
        <v>42647</v>
      </c>
      <c r="B7">
        <v>69.400000000000006</v>
      </c>
      <c r="C7">
        <v>0</v>
      </c>
      <c r="D7">
        <f t="shared" si="0"/>
        <v>4816.3600000000006</v>
      </c>
      <c r="E7">
        <f t="shared" si="1"/>
        <v>4816.3600000000006</v>
      </c>
      <c r="F7">
        <f t="shared" si="2"/>
        <v>-69.400000000000006</v>
      </c>
      <c r="G7">
        <f t="shared" si="3"/>
        <v>69.400000000000006</v>
      </c>
      <c r="H7">
        <f t="shared" si="4"/>
        <v>1.9651997999999999</v>
      </c>
      <c r="I7">
        <f t="shared" si="4"/>
        <v>0</v>
      </c>
    </row>
    <row r="8" spans="1:9" x14ac:dyDescent="0.25">
      <c r="A8" s="7">
        <v>42648</v>
      </c>
      <c r="B8">
        <v>50</v>
      </c>
      <c r="C8">
        <v>0</v>
      </c>
      <c r="D8">
        <f t="shared" si="0"/>
        <v>2500</v>
      </c>
      <c r="E8">
        <f t="shared" si="1"/>
        <v>2500</v>
      </c>
      <c r="F8">
        <f t="shared" si="2"/>
        <v>-50</v>
      </c>
      <c r="G8">
        <f t="shared" si="3"/>
        <v>50</v>
      </c>
      <c r="H8">
        <f t="shared" si="4"/>
        <v>1.4158499999999998</v>
      </c>
      <c r="I8">
        <f t="shared" si="4"/>
        <v>0</v>
      </c>
    </row>
    <row r="9" spans="1:9" x14ac:dyDescent="0.25">
      <c r="A9" s="7">
        <v>42649</v>
      </c>
      <c r="B9">
        <v>39.5</v>
      </c>
      <c r="C9">
        <v>0</v>
      </c>
      <c r="D9">
        <f t="shared" si="0"/>
        <v>1560.25</v>
      </c>
      <c r="E9">
        <f t="shared" si="1"/>
        <v>1560.25</v>
      </c>
      <c r="F9">
        <f t="shared" si="2"/>
        <v>-39.5</v>
      </c>
      <c r="G9">
        <f t="shared" si="3"/>
        <v>39.5</v>
      </c>
      <c r="H9">
        <f t="shared" si="4"/>
        <v>1.1185214999999999</v>
      </c>
      <c r="I9">
        <f t="shared" si="4"/>
        <v>0</v>
      </c>
    </row>
    <row r="10" spans="1:9" x14ac:dyDescent="0.25">
      <c r="A10" s="7">
        <v>42650</v>
      </c>
      <c r="B10">
        <v>34.5</v>
      </c>
      <c r="C10">
        <v>0</v>
      </c>
      <c r="D10">
        <f t="shared" si="0"/>
        <v>1190.25</v>
      </c>
      <c r="E10">
        <f t="shared" si="1"/>
        <v>1190.25</v>
      </c>
      <c r="F10">
        <f t="shared" si="2"/>
        <v>-34.5</v>
      </c>
      <c r="G10">
        <f t="shared" si="3"/>
        <v>34.5</v>
      </c>
      <c r="H10">
        <f t="shared" si="4"/>
        <v>0.97693649999999999</v>
      </c>
      <c r="I10">
        <f t="shared" si="4"/>
        <v>0</v>
      </c>
    </row>
    <row r="11" spans="1:9" x14ac:dyDescent="0.25">
      <c r="A11" s="7">
        <v>42651</v>
      </c>
      <c r="B11">
        <v>4730</v>
      </c>
      <c r="C11">
        <v>606.65200000000004</v>
      </c>
      <c r="D11">
        <f t="shared" si="0"/>
        <v>17001998.729104001</v>
      </c>
      <c r="E11">
        <f t="shared" si="1"/>
        <v>22372900</v>
      </c>
      <c r="F11">
        <f t="shared" si="2"/>
        <v>-4123.348</v>
      </c>
      <c r="G11">
        <f t="shared" si="3"/>
        <v>4123.348</v>
      </c>
      <c r="H11">
        <f t="shared" si="4"/>
        <v>133.93940999999998</v>
      </c>
      <c r="I11">
        <f t="shared" si="4"/>
        <v>17.178564684000001</v>
      </c>
    </row>
    <row r="12" spans="1:9" x14ac:dyDescent="0.25">
      <c r="A12" s="7">
        <v>42652</v>
      </c>
      <c r="B12">
        <v>13300</v>
      </c>
      <c r="C12">
        <v>13331.709000000001</v>
      </c>
      <c r="D12">
        <f t="shared" si="0"/>
        <v>1005.4606810000471</v>
      </c>
      <c r="E12">
        <f t="shared" si="1"/>
        <v>176890000</v>
      </c>
      <c r="F12">
        <f t="shared" si="2"/>
        <v>31.709000000000742</v>
      </c>
      <c r="G12">
        <f t="shared" si="3"/>
        <v>-31.709000000000742</v>
      </c>
      <c r="H12">
        <f t="shared" si="4"/>
        <v>376.61609999999996</v>
      </c>
      <c r="I12">
        <f t="shared" si="4"/>
        <v>377.514003753</v>
      </c>
    </row>
    <row r="13" spans="1:9" x14ac:dyDescent="0.25">
      <c r="A13" s="7">
        <v>42653</v>
      </c>
      <c r="B13">
        <v>13100</v>
      </c>
      <c r="C13">
        <v>6031.8580000000002</v>
      </c>
      <c r="D13">
        <f t="shared" si="0"/>
        <v>49958631.332163997</v>
      </c>
      <c r="E13">
        <f t="shared" si="1"/>
        <v>171610000</v>
      </c>
      <c r="F13">
        <f t="shared" si="2"/>
        <v>-7068.1419999999998</v>
      </c>
      <c r="G13">
        <f t="shared" si="3"/>
        <v>7068.1419999999998</v>
      </c>
      <c r="H13">
        <f t="shared" si="4"/>
        <v>370.95269999999999</v>
      </c>
      <c r="I13">
        <f t="shared" si="4"/>
        <v>170.80412298599998</v>
      </c>
    </row>
    <row r="14" spans="1:9" x14ac:dyDescent="0.25">
      <c r="A14" s="7">
        <v>42654</v>
      </c>
      <c r="B14">
        <v>5810</v>
      </c>
      <c r="C14">
        <v>561.68299999999999</v>
      </c>
      <c r="D14">
        <f t="shared" si="0"/>
        <v>27544831.332488999</v>
      </c>
      <c r="E14">
        <f t="shared" si="1"/>
        <v>33756100</v>
      </c>
      <c r="F14">
        <f t="shared" si="2"/>
        <v>-5248.317</v>
      </c>
      <c r="G14">
        <f t="shared" si="3"/>
        <v>5248.317</v>
      </c>
      <c r="H14">
        <f t="shared" si="4"/>
        <v>164.52177</v>
      </c>
      <c r="I14">
        <f t="shared" si="4"/>
        <v>15.905177511</v>
      </c>
    </row>
    <row r="15" spans="1:9" x14ac:dyDescent="0.25">
      <c r="A15" s="7">
        <v>42655</v>
      </c>
      <c r="B15">
        <v>1210</v>
      </c>
      <c r="C15">
        <v>1.155</v>
      </c>
      <c r="D15">
        <f t="shared" si="0"/>
        <v>1461306.2340250001</v>
      </c>
      <c r="E15">
        <f t="shared" si="1"/>
        <v>1464100</v>
      </c>
      <c r="F15">
        <f t="shared" si="2"/>
        <v>-1208.845</v>
      </c>
      <c r="G15">
        <f t="shared" si="3"/>
        <v>1208.845</v>
      </c>
      <c r="H15">
        <f t="shared" si="4"/>
        <v>34.263570000000001</v>
      </c>
      <c r="I15">
        <f t="shared" si="4"/>
        <v>3.2706134999999997E-2</v>
      </c>
    </row>
    <row r="16" spans="1:9" x14ac:dyDescent="0.25">
      <c r="A16" s="7">
        <v>42656</v>
      </c>
      <c r="B16">
        <v>230</v>
      </c>
      <c r="C16">
        <v>0</v>
      </c>
      <c r="D16">
        <f t="shared" si="0"/>
        <v>52900</v>
      </c>
      <c r="E16">
        <f t="shared" si="1"/>
        <v>52900</v>
      </c>
      <c r="F16">
        <f t="shared" si="2"/>
        <v>-230</v>
      </c>
      <c r="G16">
        <f t="shared" si="3"/>
        <v>230</v>
      </c>
      <c r="H16">
        <f t="shared" si="4"/>
        <v>6.5129099999999998</v>
      </c>
      <c r="I16">
        <f t="shared" si="4"/>
        <v>0</v>
      </c>
    </row>
    <row r="17" spans="1:9" x14ac:dyDescent="0.25">
      <c r="A17" s="7">
        <v>42657</v>
      </c>
      <c r="B17">
        <v>160</v>
      </c>
      <c r="C17">
        <v>0</v>
      </c>
      <c r="D17">
        <f t="shared" si="0"/>
        <v>25600</v>
      </c>
      <c r="E17">
        <f t="shared" si="1"/>
        <v>25600</v>
      </c>
      <c r="F17">
        <f t="shared" si="2"/>
        <v>-160</v>
      </c>
      <c r="G17">
        <f t="shared" si="3"/>
        <v>160</v>
      </c>
      <c r="H17">
        <f t="shared" si="4"/>
        <v>4.5307199999999996</v>
      </c>
      <c r="I17">
        <f t="shared" si="4"/>
        <v>0</v>
      </c>
    </row>
    <row r="18" spans="1:9" x14ac:dyDescent="0.25">
      <c r="A18" s="7">
        <v>42658</v>
      </c>
      <c r="B18">
        <v>121</v>
      </c>
      <c r="C18">
        <v>0</v>
      </c>
      <c r="D18">
        <f t="shared" si="0"/>
        <v>14641</v>
      </c>
      <c r="E18">
        <f t="shared" si="1"/>
        <v>14641</v>
      </c>
      <c r="F18">
        <f t="shared" si="2"/>
        <v>-121</v>
      </c>
      <c r="G18">
        <f t="shared" si="3"/>
        <v>121</v>
      </c>
      <c r="H18">
        <f t="shared" si="4"/>
        <v>3.4263569999999999</v>
      </c>
      <c r="I18">
        <f t="shared" si="4"/>
        <v>0</v>
      </c>
    </row>
    <row r="19" spans="1:9" x14ac:dyDescent="0.25">
      <c r="A19" s="7">
        <v>42659</v>
      </c>
      <c r="B19">
        <v>96.8</v>
      </c>
      <c r="C19">
        <v>0</v>
      </c>
      <c r="D19">
        <f t="shared" si="0"/>
        <v>9370.24</v>
      </c>
      <c r="E19">
        <f t="shared" si="1"/>
        <v>9370.24</v>
      </c>
      <c r="F19">
        <f t="shared" si="2"/>
        <v>-96.8</v>
      </c>
      <c r="G19">
        <f t="shared" si="3"/>
        <v>96.8</v>
      </c>
      <c r="H19">
        <f t="shared" si="4"/>
        <v>2.7410855999999999</v>
      </c>
      <c r="I19">
        <f t="shared" si="4"/>
        <v>0</v>
      </c>
    </row>
    <row r="20" spans="1:9" x14ac:dyDescent="0.25">
      <c r="A20" s="7">
        <v>42660</v>
      </c>
      <c r="B20">
        <v>84.4</v>
      </c>
      <c r="C20">
        <v>0</v>
      </c>
      <c r="D20">
        <f t="shared" si="0"/>
        <v>7123.3600000000006</v>
      </c>
      <c r="E20">
        <f t="shared" si="1"/>
        <v>7123.3600000000006</v>
      </c>
      <c r="F20">
        <f t="shared" si="2"/>
        <v>-84.4</v>
      </c>
      <c r="G20">
        <f t="shared" si="3"/>
        <v>84.4</v>
      </c>
      <c r="H20">
        <f t="shared" si="4"/>
        <v>2.3899547999999999</v>
      </c>
      <c r="I20">
        <f t="shared" si="4"/>
        <v>0</v>
      </c>
    </row>
    <row r="21" spans="1:9" x14ac:dyDescent="0.25">
      <c r="A21" s="7">
        <v>42661</v>
      </c>
      <c r="B21">
        <v>73.900000000000006</v>
      </c>
      <c r="C21">
        <v>0</v>
      </c>
      <c r="D21">
        <f t="shared" si="0"/>
        <v>5461.2100000000009</v>
      </c>
      <c r="E21">
        <f t="shared" si="1"/>
        <v>5461.2100000000009</v>
      </c>
      <c r="F21">
        <f t="shared" si="2"/>
        <v>-73.900000000000006</v>
      </c>
      <c r="G21">
        <f t="shared" si="3"/>
        <v>73.900000000000006</v>
      </c>
      <c r="H21">
        <f t="shared" si="4"/>
        <v>2.0926263000000001</v>
      </c>
      <c r="I21">
        <f t="shared" si="4"/>
        <v>0</v>
      </c>
    </row>
    <row r="22" spans="1:9" x14ac:dyDescent="0.25">
      <c r="A22" s="7">
        <v>42662</v>
      </c>
      <c r="B22">
        <v>67.599999999999994</v>
      </c>
      <c r="C22">
        <v>0</v>
      </c>
      <c r="D22">
        <f t="shared" si="0"/>
        <v>4569.7599999999993</v>
      </c>
      <c r="E22">
        <f t="shared" si="1"/>
        <v>4569.7599999999993</v>
      </c>
      <c r="F22">
        <f t="shared" si="2"/>
        <v>-67.599999999999994</v>
      </c>
      <c r="G22">
        <f t="shared" si="3"/>
        <v>67.599999999999994</v>
      </c>
      <c r="H22">
        <f t="shared" si="4"/>
        <v>1.9142291999999996</v>
      </c>
      <c r="I22">
        <f t="shared" si="4"/>
        <v>0</v>
      </c>
    </row>
    <row r="23" spans="1:9" x14ac:dyDescent="0.25">
      <c r="A23" s="7">
        <v>42663</v>
      </c>
      <c r="B23">
        <v>61.9</v>
      </c>
      <c r="C23">
        <v>0</v>
      </c>
      <c r="D23">
        <f t="shared" si="0"/>
        <v>3831.6099999999997</v>
      </c>
      <c r="E23">
        <f t="shared" si="1"/>
        <v>3831.6099999999997</v>
      </c>
      <c r="F23">
        <f t="shared" si="2"/>
        <v>-61.9</v>
      </c>
      <c r="G23">
        <f t="shared" si="3"/>
        <v>61.9</v>
      </c>
      <c r="H23">
        <f t="shared" si="4"/>
        <v>1.7528222999999998</v>
      </c>
      <c r="I23">
        <f t="shared" si="4"/>
        <v>0</v>
      </c>
    </row>
    <row r="24" spans="1:9" x14ac:dyDescent="0.25">
      <c r="A24" s="7">
        <v>42664</v>
      </c>
      <c r="B24">
        <v>59.7</v>
      </c>
      <c r="C24">
        <v>0</v>
      </c>
      <c r="D24">
        <f t="shared" si="0"/>
        <v>3564.09</v>
      </c>
      <c r="E24">
        <f t="shared" si="1"/>
        <v>3564.09</v>
      </c>
      <c r="F24">
        <f t="shared" si="2"/>
        <v>-59.7</v>
      </c>
      <c r="G24">
        <f t="shared" si="3"/>
        <v>59.7</v>
      </c>
      <c r="H24">
        <f t="shared" si="4"/>
        <v>1.6905249</v>
      </c>
      <c r="I24">
        <f t="shared" si="4"/>
        <v>0</v>
      </c>
    </row>
    <row r="25" spans="1:9" x14ac:dyDescent="0.25">
      <c r="A25" s="7">
        <v>42665</v>
      </c>
      <c r="B25">
        <v>59</v>
      </c>
      <c r="C25">
        <v>0</v>
      </c>
      <c r="D25">
        <f t="shared" si="0"/>
        <v>3481</v>
      </c>
      <c r="E25">
        <f t="shared" si="1"/>
        <v>3481</v>
      </c>
      <c r="F25">
        <f t="shared" si="2"/>
        <v>-59</v>
      </c>
      <c r="G25">
        <f t="shared" si="3"/>
        <v>59</v>
      </c>
      <c r="H25">
        <f t="shared" si="4"/>
        <v>1.6707029999999998</v>
      </c>
      <c r="I25">
        <f t="shared" si="4"/>
        <v>0</v>
      </c>
    </row>
    <row r="26" spans="1:9" x14ac:dyDescent="0.25">
      <c r="A26" s="7">
        <v>42666</v>
      </c>
      <c r="B26">
        <v>55.5</v>
      </c>
      <c r="C26">
        <v>0</v>
      </c>
      <c r="D26">
        <f t="shared" si="0"/>
        <v>3080.25</v>
      </c>
      <c r="E26">
        <f t="shared" si="1"/>
        <v>3080.25</v>
      </c>
      <c r="F26">
        <f t="shared" si="2"/>
        <v>-55.5</v>
      </c>
      <c r="G26">
        <f t="shared" si="3"/>
        <v>55.5</v>
      </c>
      <c r="H26">
        <f t="shared" si="4"/>
        <v>1.5715934999999999</v>
      </c>
      <c r="I26">
        <f t="shared" si="4"/>
        <v>0</v>
      </c>
    </row>
    <row r="27" spans="1:9" x14ac:dyDescent="0.25">
      <c r="A27" s="7">
        <v>42667</v>
      </c>
      <c r="B27">
        <v>52.7</v>
      </c>
      <c r="C27">
        <v>0</v>
      </c>
      <c r="D27">
        <f t="shared" si="0"/>
        <v>2777.2900000000004</v>
      </c>
      <c r="E27">
        <f t="shared" si="1"/>
        <v>2777.2900000000004</v>
      </c>
      <c r="F27">
        <f t="shared" si="2"/>
        <v>-52.7</v>
      </c>
      <c r="G27">
        <f t="shared" si="3"/>
        <v>52.7</v>
      </c>
      <c r="H27">
        <f t="shared" si="4"/>
        <v>1.4923059000000001</v>
      </c>
      <c r="I27">
        <f t="shared" si="4"/>
        <v>0</v>
      </c>
    </row>
    <row r="28" spans="1:9" x14ac:dyDescent="0.25">
      <c r="A28" s="7">
        <v>42668</v>
      </c>
      <c r="B28">
        <v>48.7</v>
      </c>
      <c r="C28">
        <v>0</v>
      </c>
      <c r="D28">
        <f t="shared" si="0"/>
        <v>2371.69</v>
      </c>
      <c r="E28">
        <f t="shared" si="1"/>
        <v>2371.69</v>
      </c>
      <c r="F28">
        <f t="shared" si="2"/>
        <v>-48.7</v>
      </c>
      <c r="G28">
        <f t="shared" si="3"/>
        <v>48.7</v>
      </c>
      <c r="H28">
        <f t="shared" si="4"/>
        <v>1.3790378999999999</v>
      </c>
      <c r="I28">
        <f t="shared" si="4"/>
        <v>0</v>
      </c>
    </row>
    <row r="29" spans="1:9" x14ac:dyDescent="0.25">
      <c r="A29" s="7">
        <v>42669</v>
      </c>
      <c r="B29">
        <v>48.7</v>
      </c>
      <c r="C29">
        <v>0</v>
      </c>
      <c r="D29">
        <f t="shared" si="0"/>
        <v>2371.69</v>
      </c>
      <c r="E29">
        <f t="shared" si="1"/>
        <v>2371.69</v>
      </c>
      <c r="F29">
        <f t="shared" si="2"/>
        <v>-48.7</v>
      </c>
      <c r="G29">
        <f t="shared" si="3"/>
        <v>48.7</v>
      </c>
      <c r="H29">
        <f t="shared" si="4"/>
        <v>1.3790378999999999</v>
      </c>
      <c r="I29">
        <f t="shared" si="4"/>
        <v>0</v>
      </c>
    </row>
    <row r="30" spans="1:9" x14ac:dyDescent="0.25">
      <c r="A30" s="7">
        <v>42670</v>
      </c>
      <c r="B30">
        <v>46.8</v>
      </c>
      <c r="C30">
        <v>0</v>
      </c>
      <c r="D30">
        <f t="shared" si="0"/>
        <v>2190.2399999999998</v>
      </c>
      <c r="E30">
        <f t="shared" si="1"/>
        <v>2190.2399999999998</v>
      </c>
      <c r="F30">
        <f t="shared" si="2"/>
        <v>-46.8</v>
      </c>
      <c r="G30">
        <f t="shared" si="3"/>
        <v>46.8</v>
      </c>
      <c r="H30">
        <f t="shared" si="4"/>
        <v>1.3252355999999998</v>
      </c>
      <c r="I30">
        <f t="shared" si="4"/>
        <v>0</v>
      </c>
    </row>
    <row r="31" spans="1:9" x14ac:dyDescent="0.25">
      <c r="A31" s="7">
        <v>42671</v>
      </c>
      <c r="B31">
        <v>46.8</v>
      </c>
      <c r="C31">
        <v>0</v>
      </c>
      <c r="D31">
        <f t="shared" si="0"/>
        <v>2190.2399999999998</v>
      </c>
      <c r="E31">
        <f t="shared" si="1"/>
        <v>2190.2399999999998</v>
      </c>
      <c r="F31">
        <f t="shared" si="2"/>
        <v>-46.8</v>
      </c>
      <c r="G31">
        <f t="shared" si="3"/>
        <v>46.8</v>
      </c>
      <c r="H31">
        <f t="shared" si="4"/>
        <v>1.3252355999999998</v>
      </c>
      <c r="I31">
        <f t="shared" si="4"/>
        <v>0</v>
      </c>
    </row>
    <row r="32" spans="1:9" x14ac:dyDescent="0.25">
      <c r="A32" s="7">
        <v>42672</v>
      </c>
      <c r="B32">
        <v>50</v>
      </c>
      <c r="C32">
        <v>0</v>
      </c>
      <c r="D32">
        <f t="shared" si="0"/>
        <v>2500</v>
      </c>
      <c r="E32">
        <f t="shared" si="1"/>
        <v>2500</v>
      </c>
      <c r="F32">
        <f t="shared" si="2"/>
        <v>-50</v>
      </c>
      <c r="G32">
        <f t="shared" si="3"/>
        <v>50</v>
      </c>
      <c r="H32">
        <f t="shared" si="4"/>
        <v>1.4158499999999998</v>
      </c>
      <c r="I32">
        <f t="shared" si="4"/>
        <v>0</v>
      </c>
    </row>
    <row r="33" spans="1:13" x14ac:dyDescent="0.25">
      <c r="A33" s="7">
        <v>42673</v>
      </c>
      <c r="B33">
        <v>49.4</v>
      </c>
      <c r="C33">
        <v>0</v>
      </c>
      <c r="D33">
        <f t="shared" si="0"/>
        <v>2440.3599999999997</v>
      </c>
      <c r="E33">
        <f t="shared" si="1"/>
        <v>2440.3599999999997</v>
      </c>
      <c r="F33">
        <f t="shared" si="2"/>
        <v>-49.4</v>
      </c>
      <c r="G33">
        <f t="shared" si="3"/>
        <v>49.4</v>
      </c>
      <c r="H33">
        <f t="shared" si="4"/>
        <v>1.3988597999999999</v>
      </c>
      <c r="I33">
        <f t="shared" si="4"/>
        <v>0</v>
      </c>
    </row>
    <row r="34" spans="1:13" x14ac:dyDescent="0.25">
      <c r="A34" s="7">
        <v>42674</v>
      </c>
      <c r="B34">
        <v>48.7</v>
      </c>
      <c r="C34">
        <v>0</v>
      </c>
      <c r="D34">
        <f t="shared" si="0"/>
        <v>2371.69</v>
      </c>
      <c r="E34">
        <f t="shared" si="1"/>
        <v>2371.69</v>
      </c>
      <c r="F34">
        <f t="shared" si="2"/>
        <v>-48.7</v>
      </c>
      <c r="H34">
        <f t="shared" si="4"/>
        <v>1.3790378999999999</v>
      </c>
      <c r="I34">
        <f t="shared" si="4"/>
        <v>0</v>
      </c>
    </row>
    <row r="35" spans="1:13" x14ac:dyDescent="0.25">
      <c r="B35">
        <f>AVERAGE(B4:B34)</f>
        <v>1316.7096774193549</v>
      </c>
      <c r="C35">
        <f>AVERAGE(C4:C34)</f>
        <v>662.35667741935481</v>
      </c>
      <c r="D35">
        <f>SUM(D4:D34)</f>
        <v>96522340.668462977</v>
      </c>
      <c r="E35">
        <f>SUM(E4:E34)</f>
        <v>407301690.01912594</v>
      </c>
      <c r="F35">
        <f>SUM(F4:F34)</f>
        <v>-20284.943000000007</v>
      </c>
      <c r="G35">
        <f>SUM(G4:G34)</f>
        <v>20236.243000000006</v>
      </c>
      <c r="H35" s="6">
        <f>MAX(H4:H34)</f>
        <v>376.61609999999996</v>
      </c>
      <c r="I35" s="6">
        <f>MAX(I4:I34)</f>
        <v>377.514003753</v>
      </c>
      <c r="L35" s="16" t="s">
        <v>38</v>
      </c>
      <c r="M35" s="19">
        <v>0.76302003396074658</v>
      </c>
    </row>
    <row r="36" spans="1:13" x14ac:dyDescent="0.25">
      <c r="B36">
        <f>SUM(B4:B34)</f>
        <v>40818</v>
      </c>
      <c r="D36" s="6"/>
      <c r="E36" s="6">
        <f>COUNT(B4:B34)</f>
        <v>31</v>
      </c>
      <c r="L36" s="16" t="s">
        <v>39</v>
      </c>
      <c r="M36" s="19">
        <v>0.78060028360909361</v>
      </c>
    </row>
    <row r="37" spans="1:13" x14ac:dyDescent="0.25">
      <c r="A37" s="2" t="s">
        <v>38</v>
      </c>
      <c r="B37" s="2">
        <f>1-(D35/E35)</f>
        <v>0.76302003396074658</v>
      </c>
      <c r="E37">
        <f>E35/E36</f>
        <v>13138764.194165353</v>
      </c>
      <c r="L37" s="16" t="s">
        <v>50</v>
      </c>
      <c r="M37" s="19">
        <v>0.48680588127019725</v>
      </c>
    </row>
    <row r="38" spans="1:13" x14ac:dyDescent="0.25">
      <c r="A38" s="2" t="s">
        <v>39</v>
      </c>
      <c r="B38" s="2">
        <f>RSQ(B4:B34,C4:C34)</f>
        <v>0.78060028360909361</v>
      </c>
      <c r="D38" s="6" t="s">
        <v>49</v>
      </c>
      <c r="E38" s="6">
        <f>E37^0.5</f>
        <v>3624.7433280392906</v>
      </c>
    </row>
    <row r="39" spans="1:13" x14ac:dyDescent="0.25">
      <c r="A39" s="2" t="s">
        <v>40</v>
      </c>
      <c r="B39" s="2">
        <f>CORREL(B4:B34,C4:C34)</f>
        <v>0.8835158649447632</v>
      </c>
    </row>
    <row r="40" spans="1:13" x14ac:dyDescent="0.25">
      <c r="A40" s="2" t="s">
        <v>41</v>
      </c>
      <c r="B40" s="3">
        <f>(AVERAGE(D4:D34))^0.5</f>
        <v>1764.5463701844346</v>
      </c>
    </row>
    <row r="41" spans="1:13" x14ac:dyDescent="0.25">
      <c r="A41" s="2" t="s">
        <v>50</v>
      </c>
      <c r="B41">
        <f>B40/E38</f>
        <v>0.48680588127019725</v>
      </c>
    </row>
    <row r="42" spans="1:13" x14ac:dyDescent="0.25">
      <c r="A42" s="2" t="s">
        <v>42</v>
      </c>
      <c r="B42" s="4">
        <f>F35/B36</f>
        <v>-0.49696072811014763</v>
      </c>
      <c r="C42" s="4">
        <f>G35/B36</f>
        <v>0.49576762702729205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A7D42-2CC4-4773-9595-4E8BDA3C25E2}">
  <dimension ref="C1:M41"/>
  <sheetViews>
    <sheetView topLeftCell="B10" workbookViewId="0">
      <selection activeCell="C1" sqref="C1:J33"/>
    </sheetView>
  </sheetViews>
  <sheetFormatPr defaultRowHeight="15" x14ac:dyDescent="0.25"/>
  <cols>
    <col min="5" max="8" width="0" hidden="1" customWidth="1"/>
  </cols>
  <sheetData>
    <row r="1" spans="3:10" x14ac:dyDescent="0.25">
      <c r="C1" t="s">
        <v>51</v>
      </c>
      <c r="I1" s="6" t="s">
        <v>52</v>
      </c>
    </row>
    <row r="2" spans="3:10" x14ac:dyDescent="0.25">
      <c r="C2" t="s">
        <v>44</v>
      </c>
      <c r="D2" t="s">
        <v>2</v>
      </c>
      <c r="E2" t="s">
        <v>47</v>
      </c>
      <c r="F2" s="6" t="s">
        <v>45</v>
      </c>
      <c r="G2" s="6" t="s">
        <v>46</v>
      </c>
      <c r="H2" s="6" t="s">
        <v>6</v>
      </c>
      <c r="I2" s="5" t="s">
        <v>2</v>
      </c>
      <c r="J2" s="6" t="s">
        <v>3</v>
      </c>
    </row>
    <row r="3" spans="3:10" x14ac:dyDescent="0.25">
      <c r="C3" t="s">
        <v>7</v>
      </c>
      <c r="D3">
        <v>1480</v>
      </c>
      <c r="E3">
        <v>0</v>
      </c>
      <c r="F3">
        <f>(D3-E3)^2</f>
        <v>2190400</v>
      </c>
      <c r="G3">
        <f>(D3-$D$34)^2</f>
        <v>8103388.6742976084</v>
      </c>
      <c r="H3">
        <f>E3-D3</f>
        <v>-1480</v>
      </c>
      <c r="I3">
        <f>0.028317*D3</f>
        <v>41.90916</v>
      </c>
      <c r="J3">
        <f>0.028317*E3</f>
        <v>0</v>
      </c>
    </row>
    <row r="4" spans="3:10" x14ac:dyDescent="0.25">
      <c r="C4" t="s">
        <v>8</v>
      </c>
      <c r="D4">
        <v>1410</v>
      </c>
      <c r="E4">
        <v>0</v>
      </c>
      <c r="F4">
        <f t="shared" ref="F4:F33" si="0">(D4-E4)^2</f>
        <v>1988100</v>
      </c>
      <c r="G4">
        <f t="shared" ref="G4:G33" si="1">(D4-$D$34)^2</f>
        <v>8506818.9968782533</v>
      </c>
      <c r="H4">
        <f t="shared" ref="H4:H33" si="2">E4-D4</f>
        <v>-1410</v>
      </c>
      <c r="I4">
        <f t="shared" ref="I4:I33" si="3">0.028317*D4</f>
        <v>39.926969999999997</v>
      </c>
      <c r="J4">
        <f t="shared" ref="J4:J33" si="4">0.028317*E4</f>
        <v>0</v>
      </c>
    </row>
    <row r="5" spans="3:10" x14ac:dyDescent="0.25">
      <c r="C5" t="s">
        <v>9</v>
      </c>
      <c r="D5">
        <v>951</v>
      </c>
      <c r="E5">
        <v>0</v>
      </c>
      <c r="F5">
        <f t="shared" si="0"/>
        <v>904401</v>
      </c>
      <c r="G5">
        <f t="shared" si="1"/>
        <v>11394980.254942771</v>
      </c>
      <c r="H5">
        <f t="shared" si="2"/>
        <v>-951</v>
      </c>
      <c r="I5">
        <f t="shared" si="3"/>
        <v>26.929466999999999</v>
      </c>
      <c r="J5">
        <f t="shared" si="4"/>
        <v>0</v>
      </c>
    </row>
    <row r="6" spans="3:10" x14ac:dyDescent="0.25">
      <c r="C6" t="s">
        <v>10</v>
      </c>
      <c r="D6">
        <v>620</v>
      </c>
      <c r="E6">
        <v>0</v>
      </c>
      <c r="F6">
        <f t="shared" si="0"/>
        <v>384400</v>
      </c>
      <c r="G6">
        <f t="shared" si="1"/>
        <v>13739218.351716964</v>
      </c>
      <c r="H6">
        <f t="shared" si="2"/>
        <v>-620</v>
      </c>
      <c r="I6">
        <f t="shared" si="3"/>
        <v>17.556539999999998</v>
      </c>
      <c r="J6">
        <f t="shared" si="4"/>
        <v>0</v>
      </c>
    </row>
    <row r="7" spans="3:10" x14ac:dyDescent="0.25">
      <c r="C7" t="s">
        <v>11</v>
      </c>
      <c r="D7">
        <v>410</v>
      </c>
      <c r="E7">
        <v>0</v>
      </c>
      <c r="F7">
        <f t="shared" si="0"/>
        <v>168100</v>
      </c>
      <c r="G7">
        <f t="shared" si="1"/>
        <v>15340109.3194589</v>
      </c>
      <c r="H7">
        <f t="shared" si="2"/>
        <v>-410</v>
      </c>
      <c r="I7">
        <f t="shared" si="3"/>
        <v>11.609969999999999</v>
      </c>
      <c r="J7">
        <f t="shared" si="4"/>
        <v>0</v>
      </c>
    </row>
    <row r="8" spans="3:10" x14ac:dyDescent="0.25">
      <c r="C8" t="s">
        <v>12</v>
      </c>
      <c r="D8">
        <v>312</v>
      </c>
      <c r="E8">
        <v>0.81</v>
      </c>
      <c r="F8">
        <f t="shared" si="0"/>
        <v>96839.216100000005</v>
      </c>
      <c r="G8">
        <f t="shared" si="1"/>
        <v>16117375.771071803</v>
      </c>
      <c r="H8">
        <f t="shared" si="2"/>
        <v>-311.19</v>
      </c>
      <c r="I8">
        <f t="shared" si="3"/>
        <v>8.8349039999999999</v>
      </c>
      <c r="J8">
        <f t="shared" si="4"/>
        <v>2.2936769999999999E-2</v>
      </c>
    </row>
    <row r="9" spans="3:10" x14ac:dyDescent="0.25">
      <c r="C9" t="s">
        <v>13</v>
      </c>
      <c r="D9">
        <v>297</v>
      </c>
      <c r="E9">
        <v>99.741</v>
      </c>
      <c r="F9">
        <f t="shared" si="0"/>
        <v>38911.113081000003</v>
      </c>
      <c r="G9">
        <f t="shared" si="1"/>
        <v>16238040.125910513</v>
      </c>
      <c r="H9">
        <f t="shared" si="2"/>
        <v>-197.25900000000001</v>
      </c>
      <c r="I9">
        <f t="shared" si="3"/>
        <v>8.4101489999999988</v>
      </c>
      <c r="J9">
        <f t="shared" si="4"/>
        <v>2.8243658969999998</v>
      </c>
    </row>
    <row r="10" spans="3:10" x14ac:dyDescent="0.25">
      <c r="C10" t="s">
        <v>14</v>
      </c>
      <c r="D10">
        <v>14600</v>
      </c>
      <c r="E10">
        <v>20241.21</v>
      </c>
      <c r="F10">
        <f t="shared" si="0"/>
        <v>31823250.264099989</v>
      </c>
      <c r="G10">
        <f t="shared" si="1"/>
        <v>105541819.64203955</v>
      </c>
      <c r="H10">
        <f t="shared" si="2"/>
        <v>5641.2099999999991</v>
      </c>
      <c r="I10">
        <f t="shared" si="3"/>
        <v>413.4282</v>
      </c>
      <c r="J10">
        <f t="shared" si="4"/>
        <v>573.17034357</v>
      </c>
    </row>
    <row r="11" spans="3:10" x14ac:dyDescent="0.25">
      <c r="C11" t="s">
        <v>15</v>
      </c>
      <c r="D11">
        <v>23100</v>
      </c>
      <c r="E11">
        <v>25012.244999999999</v>
      </c>
      <c r="F11">
        <f t="shared" si="0"/>
        <v>3656680.9400249962</v>
      </c>
      <c r="G11">
        <f t="shared" si="1"/>
        <v>352438851.90010411</v>
      </c>
      <c r="H11">
        <f t="shared" si="2"/>
        <v>1912.244999999999</v>
      </c>
      <c r="I11">
        <f t="shared" si="3"/>
        <v>654.12270000000001</v>
      </c>
      <c r="J11">
        <f t="shared" si="4"/>
        <v>708.27174166499992</v>
      </c>
    </row>
    <row r="12" spans="3:10" x14ac:dyDescent="0.25">
      <c r="C12" t="s">
        <v>16</v>
      </c>
      <c r="D12">
        <v>23200</v>
      </c>
      <c r="E12">
        <v>19163.043000000001</v>
      </c>
      <c r="F12">
        <f t="shared" si="0"/>
        <v>16297021.819848988</v>
      </c>
      <c r="G12">
        <f t="shared" si="1"/>
        <v>356203522.86784601</v>
      </c>
      <c r="H12">
        <f t="shared" si="2"/>
        <v>-4036.9569999999985</v>
      </c>
      <c r="I12">
        <f t="shared" si="3"/>
        <v>656.95439999999996</v>
      </c>
      <c r="J12">
        <f t="shared" si="4"/>
        <v>542.63988863099996</v>
      </c>
    </row>
    <row r="13" spans="3:10" x14ac:dyDescent="0.25">
      <c r="C13" t="s">
        <v>17</v>
      </c>
      <c r="D13">
        <v>18900</v>
      </c>
      <c r="E13">
        <v>17144.518</v>
      </c>
      <c r="F13">
        <f t="shared" si="0"/>
        <v>3081717.0523239998</v>
      </c>
      <c r="G13">
        <f t="shared" si="1"/>
        <v>212382671.25494277</v>
      </c>
      <c r="H13">
        <f t="shared" si="2"/>
        <v>-1755.482</v>
      </c>
      <c r="I13">
        <f t="shared" si="3"/>
        <v>535.19129999999996</v>
      </c>
      <c r="J13">
        <f t="shared" si="4"/>
        <v>485.48131620599997</v>
      </c>
    </row>
    <row r="14" spans="3:10" x14ac:dyDescent="0.25">
      <c r="C14" t="s">
        <v>18</v>
      </c>
      <c r="D14">
        <v>15000</v>
      </c>
      <c r="E14">
        <v>12340.532999999999</v>
      </c>
      <c r="F14">
        <f t="shared" si="0"/>
        <v>7072764.7240890032</v>
      </c>
      <c r="G14">
        <f t="shared" si="1"/>
        <v>113920503.5130073</v>
      </c>
      <c r="H14">
        <f t="shared" si="2"/>
        <v>-2659.4670000000006</v>
      </c>
      <c r="I14">
        <f t="shared" si="3"/>
        <v>424.755</v>
      </c>
      <c r="J14">
        <f t="shared" si="4"/>
        <v>349.44687296099994</v>
      </c>
    </row>
    <row r="15" spans="3:10" x14ac:dyDescent="0.25">
      <c r="C15" t="s">
        <v>19</v>
      </c>
      <c r="D15">
        <v>13500</v>
      </c>
      <c r="E15">
        <v>6946.2730000000001</v>
      </c>
      <c r="F15">
        <f t="shared" si="0"/>
        <v>42951337.590528995</v>
      </c>
      <c r="G15">
        <f t="shared" si="1"/>
        <v>84150438.996878266</v>
      </c>
      <c r="H15">
        <f t="shared" si="2"/>
        <v>-6553.7269999999999</v>
      </c>
      <c r="I15">
        <f t="shared" si="3"/>
        <v>382.27949999999998</v>
      </c>
      <c r="J15">
        <f t="shared" si="4"/>
        <v>196.69761254099998</v>
      </c>
    </row>
    <row r="16" spans="3:10" x14ac:dyDescent="0.25">
      <c r="C16" t="s">
        <v>20</v>
      </c>
      <c r="D16">
        <v>11500</v>
      </c>
      <c r="E16">
        <v>7307.7650000000003</v>
      </c>
      <c r="F16">
        <f t="shared" si="0"/>
        <v>17574834.295224998</v>
      </c>
      <c r="G16">
        <f t="shared" si="1"/>
        <v>51457019.642039537</v>
      </c>
      <c r="H16">
        <f t="shared" si="2"/>
        <v>-4192.2349999999997</v>
      </c>
      <c r="I16">
        <f t="shared" si="3"/>
        <v>325.64549999999997</v>
      </c>
      <c r="J16">
        <f t="shared" si="4"/>
        <v>206.93398150499999</v>
      </c>
    </row>
    <row r="17" spans="3:13" x14ac:dyDescent="0.25">
      <c r="C17" t="s">
        <v>21</v>
      </c>
      <c r="D17">
        <v>3390</v>
      </c>
      <c r="E17">
        <v>5955.4440000000004</v>
      </c>
      <c r="F17">
        <f t="shared" si="0"/>
        <v>6581502.9171360023</v>
      </c>
      <c r="G17">
        <f t="shared" si="1"/>
        <v>877304.15816857503</v>
      </c>
      <c r="H17">
        <f t="shared" si="2"/>
        <v>2565.4440000000004</v>
      </c>
      <c r="I17">
        <f t="shared" si="3"/>
        <v>95.994630000000001</v>
      </c>
      <c r="J17">
        <f t="shared" si="4"/>
        <v>168.640307748</v>
      </c>
    </row>
    <row r="18" spans="3:13" x14ac:dyDescent="0.25">
      <c r="C18" t="s">
        <v>22</v>
      </c>
      <c r="D18">
        <v>533</v>
      </c>
      <c r="E18">
        <v>3952.0940000000001</v>
      </c>
      <c r="F18">
        <f t="shared" si="0"/>
        <v>11690203.780836001</v>
      </c>
      <c r="G18">
        <f t="shared" si="1"/>
        <v>14391743.609781479</v>
      </c>
      <c r="H18">
        <f t="shared" si="2"/>
        <v>3419.0940000000001</v>
      </c>
      <c r="I18">
        <f t="shared" si="3"/>
        <v>15.092960999999999</v>
      </c>
      <c r="J18">
        <f t="shared" si="4"/>
        <v>111.91144579799999</v>
      </c>
    </row>
    <row r="19" spans="3:13" x14ac:dyDescent="0.25">
      <c r="C19" t="s">
        <v>23</v>
      </c>
      <c r="D19">
        <v>581</v>
      </c>
      <c r="E19">
        <v>1947.0509999999999</v>
      </c>
      <c r="F19">
        <f t="shared" si="0"/>
        <v>1866095.3346009997</v>
      </c>
      <c r="G19">
        <f t="shared" si="1"/>
        <v>14029857.674297608</v>
      </c>
      <c r="H19">
        <f t="shared" si="2"/>
        <v>1366.0509999999999</v>
      </c>
      <c r="I19">
        <f t="shared" si="3"/>
        <v>16.452176999999999</v>
      </c>
      <c r="J19">
        <f t="shared" si="4"/>
        <v>55.134643166999993</v>
      </c>
    </row>
    <row r="20" spans="3:13" x14ac:dyDescent="0.25">
      <c r="C20" t="s">
        <v>24</v>
      </c>
      <c r="D20">
        <v>564</v>
      </c>
      <c r="E20">
        <v>2073.4349999999999</v>
      </c>
      <c r="F20">
        <f t="shared" si="0"/>
        <v>2278394.0192249999</v>
      </c>
      <c r="G20">
        <f t="shared" si="1"/>
        <v>14157498.609781479</v>
      </c>
      <c r="H20">
        <f t="shared" si="2"/>
        <v>1509.4349999999999</v>
      </c>
      <c r="I20">
        <f t="shared" si="3"/>
        <v>15.970787999999999</v>
      </c>
      <c r="J20">
        <f t="shared" si="4"/>
        <v>58.713458894999995</v>
      </c>
    </row>
    <row r="21" spans="3:13" x14ac:dyDescent="0.25">
      <c r="C21" t="s">
        <v>25</v>
      </c>
      <c r="D21">
        <v>490</v>
      </c>
      <c r="E21">
        <v>1339.145</v>
      </c>
      <c r="F21">
        <f t="shared" si="0"/>
        <v>721047.23102499999</v>
      </c>
      <c r="G21">
        <f t="shared" si="1"/>
        <v>14719846.093652448</v>
      </c>
      <c r="H21">
        <f t="shared" si="2"/>
        <v>849.14499999999998</v>
      </c>
      <c r="I21">
        <f t="shared" si="3"/>
        <v>13.87533</v>
      </c>
      <c r="J21">
        <f t="shared" si="4"/>
        <v>37.920568964999994</v>
      </c>
    </row>
    <row r="22" spans="3:13" x14ac:dyDescent="0.25">
      <c r="C22" t="s">
        <v>26</v>
      </c>
      <c r="D22">
        <v>392</v>
      </c>
      <c r="E22">
        <v>856.62800000000004</v>
      </c>
      <c r="F22">
        <f t="shared" si="0"/>
        <v>215879.17838400003</v>
      </c>
      <c r="G22">
        <f t="shared" si="1"/>
        <v>15481432.54526535</v>
      </c>
      <c r="H22">
        <f t="shared" si="2"/>
        <v>464.62800000000004</v>
      </c>
      <c r="I22">
        <f t="shared" si="3"/>
        <v>11.100263999999999</v>
      </c>
      <c r="J22">
        <f t="shared" si="4"/>
        <v>24.257135076000001</v>
      </c>
    </row>
    <row r="23" spans="3:13" x14ac:dyDescent="0.25">
      <c r="C23" t="s">
        <v>27</v>
      </c>
      <c r="D23">
        <v>361</v>
      </c>
      <c r="E23">
        <v>769.14499999999998</v>
      </c>
      <c r="F23">
        <f t="shared" si="0"/>
        <v>166582.34102499997</v>
      </c>
      <c r="G23">
        <f t="shared" si="1"/>
        <v>15726341.54526535</v>
      </c>
      <c r="H23">
        <f t="shared" si="2"/>
        <v>408.14499999999998</v>
      </c>
      <c r="I23">
        <f t="shared" si="3"/>
        <v>10.222436999999999</v>
      </c>
      <c r="J23">
        <f t="shared" si="4"/>
        <v>21.779878964999998</v>
      </c>
    </row>
    <row r="24" spans="3:13" x14ac:dyDescent="0.25">
      <c r="C24" t="s">
        <v>28</v>
      </c>
      <c r="D24">
        <v>342</v>
      </c>
      <c r="E24">
        <v>736.66</v>
      </c>
      <c r="F24">
        <f t="shared" si="0"/>
        <v>155756.51559999998</v>
      </c>
      <c r="G24">
        <f t="shared" si="1"/>
        <v>15877397.061394384</v>
      </c>
      <c r="H24">
        <f t="shared" si="2"/>
        <v>394.65999999999997</v>
      </c>
      <c r="I24">
        <f t="shared" si="3"/>
        <v>9.6844140000000003</v>
      </c>
      <c r="J24">
        <f t="shared" si="4"/>
        <v>20.860001219999997</v>
      </c>
    </row>
    <row r="25" spans="3:13" x14ac:dyDescent="0.25">
      <c r="C25" t="s">
        <v>29</v>
      </c>
      <c r="D25">
        <v>315</v>
      </c>
      <c r="E25">
        <v>612.95100000000002</v>
      </c>
      <c r="F25">
        <f t="shared" si="0"/>
        <v>88774.798401000007</v>
      </c>
      <c r="G25">
        <f t="shared" si="1"/>
        <v>16093296.900104061</v>
      </c>
      <c r="H25">
        <f t="shared" si="2"/>
        <v>297.95100000000002</v>
      </c>
      <c r="I25">
        <f t="shared" si="3"/>
        <v>8.9198550000000001</v>
      </c>
      <c r="J25">
        <f t="shared" si="4"/>
        <v>17.356933467000001</v>
      </c>
    </row>
    <row r="26" spans="3:13" x14ac:dyDescent="0.25">
      <c r="C26" t="s">
        <v>30</v>
      </c>
      <c r="D26">
        <v>279</v>
      </c>
      <c r="E26">
        <v>700.17</v>
      </c>
      <c r="F26">
        <f t="shared" si="0"/>
        <v>177384.16889999996</v>
      </c>
      <c r="G26">
        <f t="shared" si="1"/>
        <v>16383431.351716964</v>
      </c>
      <c r="H26">
        <f t="shared" si="2"/>
        <v>421.16999999999996</v>
      </c>
      <c r="I26">
        <f t="shared" si="3"/>
        <v>7.9004429999999992</v>
      </c>
      <c r="J26">
        <f t="shared" si="4"/>
        <v>19.826713889999997</v>
      </c>
      <c r="L26" s="17" t="s">
        <v>38</v>
      </c>
      <c r="M26" s="18">
        <v>0.90599921941363915</v>
      </c>
    </row>
    <row r="27" spans="3:13" x14ac:dyDescent="0.25">
      <c r="C27" t="s">
        <v>31</v>
      </c>
      <c r="D27">
        <v>260</v>
      </c>
      <c r="E27">
        <v>531.30899999999997</v>
      </c>
      <c r="F27">
        <f t="shared" si="0"/>
        <v>73608.573480999985</v>
      </c>
      <c r="G27">
        <f t="shared" si="1"/>
        <v>16537602.867845997</v>
      </c>
      <c r="H27">
        <f t="shared" si="2"/>
        <v>271.30899999999997</v>
      </c>
      <c r="I27">
        <f t="shared" si="3"/>
        <v>7.3624199999999993</v>
      </c>
      <c r="J27">
        <f t="shared" si="4"/>
        <v>15.045076952999999</v>
      </c>
      <c r="L27" s="17" t="s">
        <v>39</v>
      </c>
      <c r="M27" s="18">
        <v>0.90641420381516657</v>
      </c>
    </row>
    <row r="28" spans="3:13" x14ac:dyDescent="0.25">
      <c r="C28" t="s">
        <v>32</v>
      </c>
      <c r="D28">
        <v>238</v>
      </c>
      <c r="E28">
        <v>494.45800000000003</v>
      </c>
      <c r="F28">
        <f t="shared" si="0"/>
        <v>65770.705764000013</v>
      </c>
      <c r="G28">
        <f t="shared" si="1"/>
        <v>16717019.254942771</v>
      </c>
      <c r="H28">
        <f t="shared" si="2"/>
        <v>256.45800000000003</v>
      </c>
      <c r="I28">
        <f t="shared" si="3"/>
        <v>6.739446</v>
      </c>
      <c r="J28">
        <f t="shared" si="4"/>
        <v>14.001567186000001</v>
      </c>
      <c r="L28" s="16" t="s">
        <v>50</v>
      </c>
      <c r="M28" s="19">
        <v>0.30659546732846654</v>
      </c>
    </row>
    <row r="29" spans="3:13" x14ac:dyDescent="0.25">
      <c r="C29" t="s">
        <v>33</v>
      </c>
      <c r="D29">
        <v>228</v>
      </c>
      <c r="E29">
        <v>446.91699999999997</v>
      </c>
      <c r="F29">
        <f t="shared" si="0"/>
        <v>47924.65288899999</v>
      </c>
      <c r="G29">
        <f t="shared" si="1"/>
        <v>16798892.158168577</v>
      </c>
      <c r="H29">
        <f t="shared" si="2"/>
        <v>218.91699999999997</v>
      </c>
      <c r="I29">
        <f t="shared" si="3"/>
        <v>6.4562759999999999</v>
      </c>
      <c r="J29">
        <f t="shared" si="4"/>
        <v>12.655348688999998</v>
      </c>
    </row>
    <row r="30" spans="3:13" x14ac:dyDescent="0.25">
      <c r="C30" t="s">
        <v>34</v>
      </c>
      <c r="D30">
        <v>225</v>
      </c>
      <c r="E30">
        <v>251.46</v>
      </c>
      <c r="F30">
        <f t="shared" si="0"/>
        <v>700.13160000000039</v>
      </c>
      <c r="G30">
        <f t="shared" si="1"/>
        <v>16823493.029136319</v>
      </c>
      <c r="H30">
        <f t="shared" si="2"/>
        <v>26.460000000000008</v>
      </c>
      <c r="I30">
        <f t="shared" si="3"/>
        <v>6.3713249999999997</v>
      </c>
      <c r="J30">
        <f t="shared" si="4"/>
        <v>7.1205928199999997</v>
      </c>
    </row>
    <row r="31" spans="3:13" x14ac:dyDescent="0.25">
      <c r="C31" t="s">
        <v>35</v>
      </c>
      <c r="D31">
        <v>215</v>
      </c>
      <c r="E31">
        <v>246.881</v>
      </c>
      <c r="F31">
        <f t="shared" si="0"/>
        <v>1016.398161</v>
      </c>
      <c r="G31">
        <f t="shared" si="1"/>
        <v>16905625.932362124</v>
      </c>
      <c r="H31">
        <f t="shared" si="2"/>
        <v>31.881</v>
      </c>
      <c r="I31">
        <f t="shared" si="3"/>
        <v>6.0881549999999995</v>
      </c>
      <c r="J31">
        <f t="shared" si="4"/>
        <v>6.9909292769999993</v>
      </c>
    </row>
    <row r="32" spans="3:13" x14ac:dyDescent="0.25">
      <c r="C32" t="s">
        <v>36</v>
      </c>
      <c r="D32">
        <v>218</v>
      </c>
      <c r="E32">
        <v>217.72800000000001</v>
      </c>
      <c r="F32">
        <f t="shared" si="0"/>
        <v>7.3983999999995304E-2</v>
      </c>
      <c r="G32">
        <f t="shared" si="1"/>
        <v>16880965.061394382</v>
      </c>
      <c r="H32">
        <f t="shared" si="2"/>
        <v>-0.27199999999999136</v>
      </c>
      <c r="I32">
        <f t="shared" si="3"/>
        <v>6.1731059999999998</v>
      </c>
      <c r="J32">
        <f t="shared" si="4"/>
        <v>6.1654037759999998</v>
      </c>
    </row>
    <row r="33" spans="3:10" x14ac:dyDescent="0.25">
      <c r="C33" t="s">
        <v>37</v>
      </c>
      <c r="D33">
        <v>215</v>
      </c>
      <c r="E33">
        <v>182.95500000000001</v>
      </c>
      <c r="F33">
        <f t="shared" si="0"/>
        <v>1026.8820249999992</v>
      </c>
      <c r="G33">
        <f t="shared" si="1"/>
        <v>16905625.932362124</v>
      </c>
      <c r="H33">
        <f t="shared" si="2"/>
        <v>-32.044999999999987</v>
      </c>
      <c r="I33">
        <f t="shared" si="3"/>
        <v>6.0881549999999995</v>
      </c>
      <c r="J33">
        <f t="shared" si="4"/>
        <v>5.180736735</v>
      </c>
    </row>
    <row r="34" spans="3:10" x14ac:dyDescent="0.25">
      <c r="D34" s="6">
        <f>AVERAGE(D3:D33)</f>
        <v>4326.6451612903229</v>
      </c>
      <c r="E34" s="6">
        <f>AVERAGE(E3:E33)</f>
        <v>4179.6957741935485</v>
      </c>
      <c r="F34" s="6">
        <f>SUM(F3:F33)</f>
        <v>152360425.71835896</v>
      </c>
      <c r="G34" s="6">
        <f>SUM(G3:G33)</f>
        <v>1620842133.0967748</v>
      </c>
      <c r="H34" s="6">
        <f>SUM(H3:H33)</f>
        <v>-4555.4310000000014</v>
      </c>
      <c r="I34" s="6">
        <f>MAX(I3:I33)</f>
        <v>656.95439999999996</v>
      </c>
      <c r="J34" s="6">
        <f>MAX(J3:J33)</f>
        <v>708.27174166499992</v>
      </c>
    </row>
    <row r="35" spans="3:10" x14ac:dyDescent="0.25">
      <c r="D35" s="6">
        <f>SUM(D3:D33)</f>
        <v>134126</v>
      </c>
      <c r="E35" s="6"/>
      <c r="F35" s="6"/>
      <c r="G35" s="6">
        <f>COUNT(D3:D33)</f>
        <v>31</v>
      </c>
      <c r="H35" s="6"/>
      <c r="I35" s="6"/>
    </row>
    <row r="36" spans="3:10" x14ac:dyDescent="0.25">
      <c r="C36" s="2" t="s">
        <v>38</v>
      </c>
      <c r="D36" s="2">
        <f>1-(F34/G34)</f>
        <v>0.90599921941363915</v>
      </c>
      <c r="G36">
        <f>G34/G35</f>
        <v>52285230.099895962</v>
      </c>
    </row>
    <row r="37" spans="3:10" x14ac:dyDescent="0.25">
      <c r="C37" s="2" t="s">
        <v>39</v>
      </c>
      <c r="D37" s="2">
        <f>RSQ(D3:D33,E3:E33)</f>
        <v>0.90641420381516657</v>
      </c>
      <c r="F37" s="6" t="s">
        <v>49</v>
      </c>
      <c r="G37" s="6">
        <f>G36^0.5</f>
        <v>7230.8526537259741</v>
      </c>
    </row>
    <row r="38" spans="3:10" x14ac:dyDescent="0.25">
      <c r="C38" s="2" t="s">
        <v>40</v>
      </c>
      <c r="D38" s="2">
        <f>CORREL(D3:D33,E3:E33)</f>
        <v>0.95205787839561851</v>
      </c>
    </row>
    <row r="39" spans="3:10" x14ac:dyDescent="0.25">
      <c r="C39" s="2" t="s">
        <v>41</v>
      </c>
      <c r="D39" s="2">
        <f>(AVERAGE(F3:F33))^0.5</f>
        <v>2216.9466485523976</v>
      </c>
    </row>
    <row r="40" spans="3:10" x14ac:dyDescent="0.25">
      <c r="C40" s="2" t="s">
        <v>50</v>
      </c>
      <c r="D40">
        <f>D39/G37</f>
        <v>0.30659546732846654</v>
      </c>
    </row>
    <row r="41" spans="3:10" x14ac:dyDescent="0.25">
      <c r="C41" s="2" t="s">
        <v>42</v>
      </c>
      <c r="D41" s="10">
        <f>H34/D35</f>
        <v>-3.3963817604342195E-2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2192E-4D3A-4959-8711-2E3F94B5DC26}">
  <dimension ref="A1:N1491"/>
  <sheetViews>
    <sheetView topLeftCell="B1" workbookViewId="0">
      <selection activeCell="F18" sqref="F18"/>
    </sheetView>
  </sheetViews>
  <sheetFormatPr defaultRowHeight="15" x14ac:dyDescent="0.25"/>
  <cols>
    <col min="1" max="1" width="18.85546875" customWidth="1"/>
    <col min="4" max="4" width="10.7109375" bestFit="1" customWidth="1"/>
    <col min="6" max="6" width="14.140625" customWidth="1"/>
    <col min="7" max="7" width="13.5703125" customWidth="1"/>
    <col min="8" max="8" width="13.140625" customWidth="1"/>
  </cols>
  <sheetData>
    <row r="1" spans="1:12" x14ac:dyDescent="0.25">
      <c r="E1" s="6" t="s">
        <v>48</v>
      </c>
      <c r="K1" s="6" t="s">
        <v>52</v>
      </c>
    </row>
    <row r="2" spans="1:12" x14ac:dyDescent="0.25">
      <c r="E2" s="6" t="s">
        <v>2</v>
      </c>
      <c r="F2" s="6" t="s">
        <v>3</v>
      </c>
      <c r="G2" s="6" t="s">
        <v>45</v>
      </c>
      <c r="H2" s="6" t="s">
        <v>46</v>
      </c>
      <c r="I2" s="6" t="s">
        <v>6</v>
      </c>
      <c r="K2" s="5" t="s">
        <v>2</v>
      </c>
      <c r="L2" s="6" t="s">
        <v>3</v>
      </c>
    </row>
    <row r="3" spans="1:12" x14ac:dyDescent="0.25">
      <c r="A3" s="8"/>
      <c r="D3" s="7">
        <v>42644</v>
      </c>
      <c r="E3">
        <v>1780</v>
      </c>
      <c r="F3">
        <v>1145</v>
      </c>
      <c r="G3">
        <f>(E3-F3)^2</f>
        <v>403225</v>
      </c>
      <c r="H3">
        <f>(E3-$E$34)^2</f>
        <v>75878711.026014552</v>
      </c>
      <c r="I3">
        <f>F3-E3</f>
        <v>-635</v>
      </c>
      <c r="J3">
        <v>8.0000000000000002E-3</v>
      </c>
      <c r="K3">
        <f>0.028317*E3</f>
        <v>50.404260000000001</v>
      </c>
      <c r="L3">
        <f>0.028317*F3</f>
        <v>32.422964999999998</v>
      </c>
    </row>
    <row r="4" spans="1:12" x14ac:dyDescent="0.25">
      <c r="A4" s="8"/>
      <c r="D4" s="7">
        <v>42645</v>
      </c>
      <c r="E4">
        <v>2310</v>
      </c>
      <c r="F4">
        <v>1648</v>
      </c>
      <c r="G4">
        <f t="shared" ref="G4:G33" si="0">(E4-F4)^2</f>
        <v>438244</v>
      </c>
      <c r="H4">
        <f t="shared" ref="H4:H33" si="1">(E4-$E$34)^2</f>
        <v>66926121.993756488</v>
      </c>
      <c r="I4">
        <f t="shared" ref="I4:I10" si="2">F4-E4</f>
        <v>-662</v>
      </c>
      <c r="J4">
        <v>0</v>
      </c>
      <c r="K4">
        <f t="shared" ref="K4:L33" si="3">0.028317*E4</f>
        <v>65.412269999999992</v>
      </c>
      <c r="L4">
        <f t="shared" si="3"/>
        <v>46.666415999999998</v>
      </c>
    </row>
    <row r="5" spans="1:12" x14ac:dyDescent="0.25">
      <c r="A5" s="8"/>
      <c r="D5" s="7">
        <v>42646</v>
      </c>
      <c r="E5">
        <v>2340</v>
      </c>
      <c r="F5">
        <v>1932</v>
      </c>
      <c r="G5">
        <f t="shared" si="0"/>
        <v>166464</v>
      </c>
      <c r="H5">
        <f t="shared" si="1"/>
        <v>66436171.671175845</v>
      </c>
      <c r="I5">
        <f t="shared" si="2"/>
        <v>-408</v>
      </c>
      <c r="J5">
        <v>0</v>
      </c>
      <c r="K5">
        <f t="shared" si="3"/>
        <v>66.261780000000002</v>
      </c>
      <c r="L5">
        <f t="shared" si="3"/>
        <v>54.708444</v>
      </c>
    </row>
    <row r="6" spans="1:12" x14ac:dyDescent="0.25">
      <c r="A6" s="8"/>
      <c r="D6" s="7">
        <v>42647</v>
      </c>
      <c r="E6">
        <v>2290</v>
      </c>
      <c r="F6">
        <v>1405</v>
      </c>
      <c r="G6">
        <f t="shared" si="0"/>
        <v>783225</v>
      </c>
      <c r="H6">
        <f t="shared" si="1"/>
        <v>67253755.542143583</v>
      </c>
      <c r="I6">
        <f t="shared" si="2"/>
        <v>-885</v>
      </c>
      <c r="J6">
        <v>0</v>
      </c>
      <c r="K6">
        <f t="shared" si="3"/>
        <v>64.845929999999996</v>
      </c>
      <c r="L6">
        <f t="shared" si="3"/>
        <v>39.785384999999998</v>
      </c>
    </row>
    <row r="7" spans="1:12" x14ac:dyDescent="0.25">
      <c r="A7" s="8"/>
      <c r="D7" s="7">
        <v>42648</v>
      </c>
      <c r="E7">
        <v>1780</v>
      </c>
      <c r="F7">
        <v>1568</v>
      </c>
      <c r="G7">
        <f t="shared" si="0"/>
        <v>44944</v>
      </c>
      <c r="H7">
        <f t="shared" si="1"/>
        <v>75878711.026014552</v>
      </c>
      <c r="I7">
        <f t="shared" si="2"/>
        <v>-212</v>
      </c>
      <c r="J7">
        <v>1.7999999999999999E-2</v>
      </c>
      <c r="K7">
        <f t="shared" si="3"/>
        <v>50.404260000000001</v>
      </c>
      <c r="L7">
        <f t="shared" si="3"/>
        <v>44.401055999999997</v>
      </c>
    </row>
    <row r="8" spans="1:12" x14ac:dyDescent="0.25">
      <c r="A8" s="8"/>
      <c r="D8" s="7">
        <v>42649</v>
      </c>
      <c r="E8">
        <v>1250</v>
      </c>
      <c r="F8">
        <v>1247</v>
      </c>
      <c r="G8">
        <f t="shared" si="0"/>
        <v>9</v>
      </c>
      <c r="H8">
        <f t="shared" si="1"/>
        <v>85393100.058272615</v>
      </c>
      <c r="I8">
        <f t="shared" si="2"/>
        <v>-3</v>
      </c>
      <c r="J8">
        <v>2.5999999999999999E-2</v>
      </c>
      <c r="K8">
        <f t="shared" si="3"/>
        <v>35.396249999999995</v>
      </c>
      <c r="L8">
        <f t="shared" si="3"/>
        <v>35.311298999999998</v>
      </c>
    </row>
    <row r="9" spans="1:12" x14ac:dyDescent="0.25">
      <c r="A9" s="8"/>
      <c r="D9" s="7">
        <v>42650</v>
      </c>
      <c r="E9">
        <v>1030</v>
      </c>
      <c r="F9">
        <v>1247</v>
      </c>
      <c r="G9">
        <f t="shared" si="0"/>
        <v>47089</v>
      </c>
      <c r="H9">
        <f t="shared" si="1"/>
        <v>89507469.090530679</v>
      </c>
      <c r="I9">
        <f t="shared" si="2"/>
        <v>217</v>
      </c>
      <c r="J9">
        <v>2.2210000000000001</v>
      </c>
      <c r="K9">
        <f t="shared" si="3"/>
        <v>29.166509999999999</v>
      </c>
      <c r="L9">
        <f t="shared" si="3"/>
        <v>35.311298999999998</v>
      </c>
    </row>
    <row r="10" spans="1:12" x14ac:dyDescent="0.25">
      <c r="A10" s="8"/>
      <c r="D10" s="7">
        <v>42651</v>
      </c>
      <c r="E10">
        <v>4470</v>
      </c>
      <c r="F10">
        <v>5614.49</v>
      </c>
      <c r="G10">
        <f t="shared" si="0"/>
        <v>1309857.3600999995</v>
      </c>
      <c r="H10">
        <f t="shared" si="1"/>
        <v>36250498.767950043</v>
      </c>
      <c r="I10">
        <f t="shared" si="2"/>
        <v>1144.4899999999998</v>
      </c>
      <c r="J10">
        <v>5614.49</v>
      </c>
      <c r="K10">
        <f t="shared" si="3"/>
        <v>126.57699</v>
      </c>
      <c r="L10">
        <f t="shared" si="3"/>
        <v>158.98551332999997</v>
      </c>
    </row>
    <row r="11" spans="1:12" x14ac:dyDescent="0.25">
      <c r="A11" s="8"/>
      <c r="D11" s="7">
        <v>42652</v>
      </c>
      <c r="E11">
        <v>18300</v>
      </c>
      <c r="F11">
        <v>16214.29</v>
      </c>
      <c r="G11">
        <f t="shared" si="0"/>
        <v>4350186.204099996</v>
      </c>
      <c r="H11">
        <f t="shared" si="1"/>
        <v>60983000.058272645</v>
      </c>
      <c r="I11">
        <f t="shared" ref="I11:I33" si="4">F13-E11</f>
        <v>25701.733999999997</v>
      </c>
      <c r="J11">
        <v>44001.733999999997</v>
      </c>
      <c r="K11">
        <f t="shared" si="3"/>
        <v>518.2011</v>
      </c>
      <c r="L11">
        <f t="shared" si="3"/>
        <v>459.14004992999998</v>
      </c>
    </row>
    <row r="12" spans="1:12" x14ac:dyDescent="0.25">
      <c r="A12" s="8"/>
      <c r="D12" s="7">
        <v>42653</v>
      </c>
      <c r="E12">
        <v>26600</v>
      </c>
      <c r="F12">
        <v>32547</v>
      </c>
      <c r="G12">
        <f t="shared" si="0"/>
        <v>35366809</v>
      </c>
      <c r="H12">
        <f t="shared" si="1"/>
        <v>259505077.47762749</v>
      </c>
      <c r="I12">
        <f t="shared" si="4"/>
        <v>22252.57</v>
      </c>
      <c r="J12">
        <v>48852.57</v>
      </c>
      <c r="K12">
        <f t="shared" si="3"/>
        <v>753.23219999999992</v>
      </c>
      <c r="L12">
        <f t="shared" si="3"/>
        <v>921.63339899999994</v>
      </c>
    </row>
    <row r="13" spans="1:12" x14ac:dyDescent="0.25">
      <c r="A13" s="8"/>
      <c r="D13" s="7">
        <v>42654</v>
      </c>
      <c r="E13">
        <v>36700</v>
      </c>
      <c r="F13">
        <v>44001.733999999997</v>
      </c>
      <c r="G13">
        <f t="shared" si="0"/>
        <v>53315319.406755954</v>
      </c>
      <c r="H13">
        <f t="shared" si="1"/>
        <v>686920135.5421437</v>
      </c>
      <c r="I13">
        <f t="shared" si="4"/>
        <v>6739.7969999999987</v>
      </c>
      <c r="J13">
        <v>43439.796999999999</v>
      </c>
      <c r="K13">
        <f t="shared" si="3"/>
        <v>1039.2338999999999</v>
      </c>
      <c r="L13">
        <f t="shared" si="3"/>
        <v>1245.9971016779998</v>
      </c>
    </row>
    <row r="14" spans="1:12" x14ac:dyDescent="0.25">
      <c r="A14" s="8"/>
      <c r="D14" s="7">
        <v>42655</v>
      </c>
      <c r="E14">
        <v>42500</v>
      </c>
      <c r="F14">
        <v>48852.57</v>
      </c>
      <c r="G14">
        <f t="shared" si="0"/>
        <v>40355145.604899995</v>
      </c>
      <c r="H14">
        <f t="shared" si="1"/>
        <v>1024586406.5098857</v>
      </c>
      <c r="I14">
        <f t="shared" si="4"/>
        <v>-13718.544999999998</v>
      </c>
      <c r="J14">
        <v>28781.455000000002</v>
      </c>
      <c r="K14">
        <f t="shared" si="3"/>
        <v>1203.4724999999999</v>
      </c>
      <c r="L14">
        <f t="shared" si="3"/>
        <v>1383.3582246899998</v>
      </c>
    </row>
    <row r="15" spans="1:12" x14ac:dyDescent="0.25">
      <c r="A15" s="8"/>
      <c r="D15" s="7">
        <v>42656</v>
      </c>
      <c r="E15">
        <v>42200</v>
      </c>
      <c r="F15">
        <v>43439.796999999999</v>
      </c>
      <c r="G15">
        <f t="shared" si="0"/>
        <v>1537096.6012089967</v>
      </c>
      <c r="H15">
        <f t="shared" si="1"/>
        <v>1005470909.7356921</v>
      </c>
      <c r="I15">
        <f t="shared" si="4"/>
        <v>-24942.384999999998</v>
      </c>
      <c r="J15">
        <v>17257.615000000002</v>
      </c>
      <c r="K15">
        <f t="shared" si="3"/>
        <v>1194.9774</v>
      </c>
      <c r="L15">
        <f t="shared" si="3"/>
        <v>1230.0847316489999</v>
      </c>
    </row>
    <row r="16" spans="1:12" x14ac:dyDescent="0.25">
      <c r="A16" s="8"/>
      <c r="D16" s="7">
        <v>42657</v>
      </c>
      <c r="E16">
        <v>39700</v>
      </c>
      <c r="F16">
        <v>28781.455000000002</v>
      </c>
      <c r="G16">
        <f t="shared" si="0"/>
        <v>119214624.91702496</v>
      </c>
      <c r="H16">
        <f t="shared" si="1"/>
        <v>853175103.28407919</v>
      </c>
      <c r="I16">
        <f t="shared" si="4"/>
        <v>-28552.17</v>
      </c>
      <c r="J16">
        <v>11147.83</v>
      </c>
      <c r="K16">
        <f t="shared" si="3"/>
        <v>1124.1849</v>
      </c>
      <c r="L16">
        <f t="shared" si="3"/>
        <v>815.00446123500001</v>
      </c>
    </row>
    <row r="17" spans="1:14" x14ac:dyDescent="0.25">
      <c r="A17" s="8"/>
      <c r="D17" s="7">
        <v>42658</v>
      </c>
      <c r="E17">
        <v>29500</v>
      </c>
      <c r="F17">
        <v>17257.615000000002</v>
      </c>
      <c r="G17">
        <f t="shared" si="0"/>
        <v>149875990.48822495</v>
      </c>
      <c r="H17">
        <f t="shared" si="1"/>
        <v>361348212.96149856</v>
      </c>
      <c r="I17">
        <f t="shared" si="4"/>
        <v>-21888.415000000001</v>
      </c>
      <c r="J17">
        <v>7611.585</v>
      </c>
      <c r="K17">
        <f t="shared" si="3"/>
        <v>835.35149999999999</v>
      </c>
      <c r="L17">
        <f t="shared" si="3"/>
        <v>488.683883955</v>
      </c>
    </row>
    <row r="18" spans="1:14" x14ac:dyDescent="0.25">
      <c r="A18" s="8"/>
      <c r="D18" s="7">
        <v>42659</v>
      </c>
      <c r="E18">
        <v>21900</v>
      </c>
      <c r="F18">
        <v>11147.83</v>
      </c>
      <c r="G18">
        <f t="shared" si="0"/>
        <v>115609159.7089</v>
      </c>
      <c r="H18">
        <f t="shared" si="1"/>
        <v>130168961.34859523</v>
      </c>
      <c r="I18">
        <f t="shared" si="4"/>
        <v>-17016.224000000002</v>
      </c>
      <c r="J18">
        <v>4883.7759999999998</v>
      </c>
      <c r="K18">
        <f t="shared" si="3"/>
        <v>620.14229999999998</v>
      </c>
      <c r="L18">
        <f t="shared" si="3"/>
        <v>315.67310211</v>
      </c>
    </row>
    <row r="19" spans="1:14" x14ac:dyDescent="0.25">
      <c r="A19" s="8"/>
      <c r="D19" s="7">
        <v>42660</v>
      </c>
      <c r="E19">
        <v>16400</v>
      </c>
      <c r="F19">
        <v>7611.585</v>
      </c>
      <c r="G19">
        <f t="shared" si="0"/>
        <v>77236238.21222502</v>
      </c>
      <c r="H19">
        <f t="shared" si="1"/>
        <v>34918187.155046836</v>
      </c>
      <c r="I19">
        <f t="shared" si="4"/>
        <v>-13235.281999999999</v>
      </c>
      <c r="J19">
        <v>3164.7179999999998</v>
      </c>
      <c r="K19">
        <f t="shared" si="3"/>
        <v>464.39879999999999</v>
      </c>
      <c r="L19">
        <f t="shared" si="3"/>
        <v>215.53725244499998</v>
      </c>
    </row>
    <row r="20" spans="1:14" x14ac:dyDescent="0.25">
      <c r="A20" s="8"/>
      <c r="D20" s="7">
        <v>42661</v>
      </c>
      <c r="E20">
        <v>11800</v>
      </c>
      <c r="F20">
        <v>4883.7759999999998</v>
      </c>
      <c r="G20">
        <f t="shared" si="0"/>
        <v>47834154.418176003</v>
      </c>
      <c r="H20">
        <f t="shared" si="1"/>
        <v>1713903.2840790863</v>
      </c>
      <c r="I20">
        <f t="shared" si="4"/>
        <v>-8792</v>
      </c>
      <c r="J20">
        <v>2098.694</v>
      </c>
      <c r="K20">
        <f t="shared" si="3"/>
        <v>334.14060000000001</v>
      </c>
      <c r="L20">
        <f t="shared" si="3"/>
        <v>138.29388499199999</v>
      </c>
    </row>
    <row r="21" spans="1:14" x14ac:dyDescent="0.25">
      <c r="A21" s="8"/>
      <c r="D21" s="7">
        <v>42662</v>
      </c>
      <c r="E21">
        <v>7450</v>
      </c>
      <c r="F21">
        <v>3164.7179999999998</v>
      </c>
      <c r="G21">
        <f t="shared" si="0"/>
        <v>18363641.819524001</v>
      </c>
      <c r="H21">
        <f t="shared" si="1"/>
        <v>9246700.0582726281</v>
      </c>
      <c r="I21">
        <f t="shared" si="4"/>
        <v>-5941</v>
      </c>
      <c r="J21">
        <v>1456.472</v>
      </c>
      <c r="K21">
        <f t="shared" si="3"/>
        <v>210.96164999999999</v>
      </c>
      <c r="L21">
        <f t="shared" si="3"/>
        <v>89.615319605999986</v>
      </c>
    </row>
    <row r="22" spans="1:14" x14ac:dyDescent="0.25">
      <c r="A22" s="8"/>
      <c r="D22" s="7">
        <v>42663</v>
      </c>
      <c r="E22">
        <v>3440</v>
      </c>
      <c r="F22">
        <v>3008</v>
      </c>
      <c r="G22">
        <f t="shared" si="0"/>
        <v>186624</v>
      </c>
      <c r="H22">
        <f t="shared" si="1"/>
        <v>49714326.509885527</v>
      </c>
      <c r="I22">
        <f t="shared" si="4"/>
        <v>-2282</v>
      </c>
      <c r="J22">
        <v>1088.9960000000001</v>
      </c>
      <c r="K22">
        <f t="shared" si="3"/>
        <v>97.410479999999993</v>
      </c>
      <c r="L22">
        <f t="shared" si="3"/>
        <v>85.177535999999989</v>
      </c>
    </row>
    <row r="23" spans="1:14" x14ac:dyDescent="0.25">
      <c r="A23" s="8"/>
      <c r="D23" s="7">
        <v>42664</v>
      </c>
      <c r="E23">
        <v>1750</v>
      </c>
      <c r="F23">
        <v>1509</v>
      </c>
      <c r="G23">
        <f t="shared" si="0"/>
        <v>58081</v>
      </c>
      <c r="H23">
        <f t="shared" si="1"/>
        <v>76402261.348595202</v>
      </c>
      <c r="I23">
        <f t="shared" si="4"/>
        <v>-899.47900000000004</v>
      </c>
      <c r="J23">
        <v>850.52099999999996</v>
      </c>
      <c r="K23">
        <f t="shared" si="3"/>
        <v>49.554749999999999</v>
      </c>
      <c r="L23">
        <f t="shared" si="3"/>
        <v>42.730353000000001</v>
      </c>
    </row>
    <row r="24" spans="1:14" x14ac:dyDescent="0.25">
      <c r="A24" s="8"/>
      <c r="D24" s="7">
        <v>42665</v>
      </c>
      <c r="E24">
        <v>1460</v>
      </c>
      <c r="F24">
        <v>1158</v>
      </c>
      <c r="G24">
        <f t="shared" si="0"/>
        <v>91204</v>
      </c>
      <c r="H24">
        <f t="shared" si="1"/>
        <v>81556047.800208107</v>
      </c>
      <c r="I24">
        <f t="shared" si="4"/>
        <v>-756.654</v>
      </c>
      <c r="J24">
        <v>703.346</v>
      </c>
      <c r="K24">
        <f t="shared" si="3"/>
        <v>41.342819999999996</v>
      </c>
      <c r="L24">
        <f t="shared" si="3"/>
        <v>32.791086</v>
      </c>
    </row>
    <row r="25" spans="1:14" x14ac:dyDescent="0.25">
      <c r="A25" s="8"/>
      <c r="D25" s="7">
        <v>42666</v>
      </c>
      <c r="E25">
        <v>1250</v>
      </c>
      <c r="F25">
        <v>850.52099999999996</v>
      </c>
      <c r="G25">
        <f t="shared" si="0"/>
        <v>159583.47144100003</v>
      </c>
      <c r="H25">
        <f t="shared" si="1"/>
        <v>85393100.058272615</v>
      </c>
      <c r="I25">
        <f t="shared" si="4"/>
        <v>-661.59900000000005</v>
      </c>
      <c r="J25">
        <v>588.40099999999995</v>
      </c>
      <c r="K25">
        <f t="shared" si="3"/>
        <v>35.396249999999995</v>
      </c>
      <c r="L25">
        <f t="shared" si="3"/>
        <v>24.084203156999997</v>
      </c>
    </row>
    <row r="26" spans="1:14" x14ac:dyDescent="0.25">
      <c r="A26" s="8"/>
      <c r="D26" s="7">
        <v>42667</v>
      </c>
      <c r="E26">
        <v>1120</v>
      </c>
      <c r="F26">
        <v>703.346</v>
      </c>
      <c r="G26">
        <f t="shared" si="0"/>
        <v>173600.555716</v>
      </c>
      <c r="H26">
        <f t="shared" si="1"/>
        <v>87812618.122788742</v>
      </c>
      <c r="I26">
        <f t="shared" si="4"/>
        <v>-607.47299999999996</v>
      </c>
      <c r="J26">
        <v>512.52700000000004</v>
      </c>
      <c r="K26">
        <f t="shared" si="3"/>
        <v>31.715039999999998</v>
      </c>
      <c r="L26">
        <f t="shared" si="3"/>
        <v>19.916648681999998</v>
      </c>
    </row>
    <row r="27" spans="1:14" x14ac:dyDescent="0.25">
      <c r="A27" s="8"/>
      <c r="D27" s="7">
        <v>42668</v>
      </c>
      <c r="E27">
        <v>1020</v>
      </c>
      <c r="F27">
        <v>588.40099999999995</v>
      </c>
      <c r="G27">
        <f t="shared" si="0"/>
        <v>186277.69680100004</v>
      </c>
      <c r="H27">
        <f t="shared" si="1"/>
        <v>89696785.864724234</v>
      </c>
      <c r="I27">
        <f t="shared" si="4"/>
        <v>-566.92100000000005</v>
      </c>
      <c r="J27">
        <v>453.07900000000001</v>
      </c>
      <c r="K27">
        <f t="shared" si="3"/>
        <v>28.883339999999997</v>
      </c>
      <c r="L27">
        <f t="shared" si="3"/>
        <v>16.661751116999998</v>
      </c>
    </row>
    <row r="28" spans="1:14" x14ac:dyDescent="0.25">
      <c r="A28" s="8"/>
      <c r="D28" s="7">
        <v>42669</v>
      </c>
      <c r="E28">
        <v>937</v>
      </c>
      <c r="F28">
        <v>512.52700000000004</v>
      </c>
      <c r="G28">
        <f t="shared" si="0"/>
        <v>180177.32772899995</v>
      </c>
      <c r="H28">
        <f t="shared" si="1"/>
        <v>91275834.090530679</v>
      </c>
      <c r="I28">
        <f t="shared" si="4"/>
        <v>-532.60899999999992</v>
      </c>
      <c r="J28">
        <v>404.39100000000002</v>
      </c>
      <c r="K28">
        <f t="shared" si="3"/>
        <v>26.533028999999999</v>
      </c>
      <c r="L28">
        <f t="shared" si="3"/>
        <v>14.513227059</v>
      </c>
    </row>
    <row r="29" spans="1:14" x14ac:dyDescent="0.25">
      <c r="A29" s="8"/>
      <c r="D29" s="7">
        <v>42670</v>
      </c>
      <c r="E29">
        <v>869</v>
      </c>
      <c r="F29">
        <v>453.07900000000001</v>
      </c>
      <c r="G29">
        <f t="shared" si="0"/>
        <v>172990.27824099999</v>
      </c>
      <c r="H29">
        <f t="shared" si="1"/>
        <v>92579780.155046806</v>
      </c>
      <c r="I29">
        <f t="shared" si="4"/>
        <v>-507.70800000000003</v>
      </c>
      <c r="J29">
        <v>361.29199999999997</v>
      </c>
      <c r="K29">
        <f t="shared" si="3"/>
        <v>24.607472999999999</v>
      </c>
      <c r="L29">
        <f t="shared" si="3"/>
        <v>12.829838042999999</v>
      </c>
    </row>
    <row r="30" spans="1:14" x14ac:dyDescent="0.25">
      <c r="A30" s="8"/>
      <c r="D30" s="7">
        <v>42671</v>
      </c>
      <c r="E30">
        <v>817</v>
      </c>
      <c r="F30">
        <v>404.39100000000002</v>
      </c>
      <c r="G30">
        <f t="shared" si="0"/>
        <v>170246.18688099997</v>
      </c>
      <c r="H30">
        <f t="shared" si="1"/>
        <v>93583155.380853266</v>
      </c>
      <c r="I30">
        <f t="shared" si="4"/>
        <v>-487.517</v>
      </c>
      <c r="J30">
        <v>329.483</v>
      </c>
      <c r="K30">
        <f t="shared" si="3"/>
        <v>23.134988999999997</v>
      </c>
      <c r="L30">
        <f t="shared" si="3"/>
        <v>11.451139947</v>
      </c>
    </row>
    <row r="31" spans="1:14" x14ac:dyDescent="0.25">
      <c r="A31" s="8"/>
      <c r="D31" s="7">
        <v>42672</v>
      </c>
      <c r="E31">
        <v>783</v>
      </c>
      <c r="F31">
        <v>361.29199999999997</v>
      </c>
      <c r="G31">
        <f t="shared" si="0"/>
        <v>177837.63726400002</v>
      </c>
      <c r="H31">
        <f t="shared" si="1"/>
        <v>94242132.413111329</v>
      </c>
      <c r="I31">
        <f t="shared" si="4"/>
        <v>-482.83499999999998</v>
      </c>
      <c r="J31">
        <v>300.16500000000002</v>
      </c>
      <c r="K31">
        <f t="shared" si="3"/>
        <v>22.172210999999997</v>
      </c>
      <c r="L31">
        <f t="shared" si="3"/>
        <v>10.230705563999999</v>
      </c>
      <c r="M31" s="16" t="s">
        <v>38</v>
      </c>
      <c r="N31" s="19">
        <f>E36</f>
        <v>0.88908660505407255</v>
      </c>
    </row>
    <row r="32" spans="1:14" x14ac:dyDescent="0.25">
      <c r="A32" s="8"/>
      <c r="D32" s="7">
        <v>42673</v>
      </c>
      <c r="E32">
        <v>746</v>
      </c>
      <c r="F32">
        <v>329.483</v>
      </c>
      <c r="G32">
        <f t="shared" si="0"/>
        <v>173486.41128900001</v>
      </c>
      <c r="H32">
        <f t="shared" si="1"/>
        <v>94961881.477627456</v>
      </c>
      <c r="I32">
        <f t="shared" si="4"/>
        <v>-469.053</v>
      </c>
      <c r="J32">
        <v>276.947</v>
      </c>
      <c r="K32">
        <f t="shared" si="3"/>
        <v>21.124482</v>
      </c>
      <c r="L32">
        <f t="shared" si="3"/>
        <v>9.3299701109999997</v>
      </c>
      <c r="M32" s="16" t="s">
        <v>39</v>
      </c>
      <c r="N32" s="19">
        <f>E37</f>
        <v>0.90384151986977168</v>
      </c>
    </row>
    <row r="33" spans="1:14" x14ac:dyDescent="0.25">
      <c r="A33" s="8"/>
      <c r="D33" s="7">
        <v>42674</v>
      </c>
      <c r="E33">
        <v>724</v>
      </c>
      <c r="F33">
        <v>300.16500000000002</v>
      </c>
      <c r="G33">
        <f t="shared" si="0"/>
        <v>179636.10722499999</v>
      </c>
      <c r="H33">
        <f t="shared" si="1"/>
        <v>95391138.380853266</v>
      </c>
      <c r="I33">
        <f t="shared" si="4"/>
        <v>-469.32400000000001</v>
      </c>
      <c r="J33">
        <v>254.67599999999999</v>
      </c>
      <c r="K33">
        <f t="shared" si="3"/>
        <v>20.501507999999998</v>
      </c>
      <c r="L33">
        <f t="shared" si="3"/>
        <v>8.4997723050000005</v>
      </c>
      <c r="M33" s="16" t="s">
        <v>50</v>
      </c>
      <c r="N33" s="19">
        <f>E40</f>
        <v>0.33303662703361536</v>
      </c>
    </row>
    <row r="34" spans="1:14" x14ac:dyDescent="0.25">
      <c r="A34" s="8"/>
      <c r="E34" s="6">
        <f>AVERAGE(E3:E33)</f>
        <v>10490.838709677419</v>
      </c>
      <c r="F34">
        <v>276.947</v>
      </c>
      <c r="G34" s="6">
        <f>SUM(G3:G33)</f>
        <v>668161168.41372693</v>
      </c>
      <c r="H34" s="6">
        <f>SUM(H3:H33)</f>
        <v>6024170198.1935492</v>
      </c>
      <c r="I34" s="6">
        <f>SUM(I3:I33)</f>
        <v>-89558.601999999999</v>
      </c>
      <c r="K34" s="6">
        <f>MAX(K3:K33)</f>
        <v>1203.4724999999999</v>
      </c>
      <c r="L34" s="6">
        <f>MAX(L3:L33)</f>
        <v>1383.3582246899998</v>
      </c>
    </row>
    <row r="35" spans="1:14" x14ac:dyDescent="0.25">
      <c r="A35" s="8"/>
      <c r="E35" s="6">
        <f>SUM(E3:E33)</f>
        <v>325216</v>
      </c>
      <c r="F35">
        <v>254.67599999999999</v>
      </c>
      <c r="G35" s="6"/>
      <c r="H35" s="6">
        <f>COUNT(E3:E33)</f>
        <v>31</v>
      </c>
      <c r="I35" s="6"/>
    </row>
    <row r="36" spans="1:14" x14ac:dyDescent="0.25">
      <c r="A36" s="8"/>
      <c r="D36" s="2" t="s">
        <v>38</v>
      </c>
      <c r="E36" s="2">
        <f>1-(G34/H34)</f>
        <v>0.88908660505407255</v>
      </c>
      <c r="H36">
        <f>H34/H35</f>
        <v>194328070.90946934</v>
      </c>
    </row>
    <row r="37" spans="1:14" x14ac:dyDescent="0.25">
      <c r="A37" s="8"/>
      <c r="D37" s="2" t="s">
        <v>39</v>
      </c>
      <c r="E37" s="2">
        <f>RSQ(E3:E33,F3:F33)</f>
        <v>0.90384151986977168</v>
      </c>
      <c r="G37" s="6" t="s">
        <v>49</v>
      </c>
      <c r="H37" s="6">
        <f>H36^0.5</f>
        <v>13940.160361684128</v>
      </c>
    </row>
    <row r="38" spans="1:14" x14ac:dyDescent="0.25">
      <c r="A38" s="8"/>
      <c r="D38" s="2" t="s">
        <v>40</v>
      </c>
      <c r="E38" s="2">
        <f>CORREL(E3:E33,F3:F33)</f>
        <v>0.95070580090255652</v>
      </c>
    </row>
    <row r="39" spans="1:14" x14ac:dyDescent="0.25">
      <c r="A39" s="8"/>
      <c r="D39" s="2" t="s">
        <v>41</v>
      </c>
      <c r="E39" s="2">
        <f>(AVERAGE(G3:G33))^0.5</f>
        <v>4642.5839871629851</v>
      </c>
    </row>
    <row r="40" spans="1:14" x14ac:dyDescent="0.25">
      <c r="A40" s="8"/>
      <c r="D40" s="2" t="s">
        <v>50</v>
      </c>
      <c r="E40" s="6">
        <f>E39/H37</f>
        <v>0.33303662703361536</v>
      </c>
    </row>
    <row r="41" spans="1:14" x14ac:dyDescent="0.25">
      <c r="A41" s="8"/>
      <c r="D41" s="2" t="s">
        <v>42</v>
      </c>
      <c r="E41" s="10">
        <f>I34/E35</f>
        <v>-0.27538190617927777</v>
      </c>
    </row>
    <row r="42" spans="1:14" x14ac:dyDescent="0.25">
      <c r="A42" s="8"/>
    </row>
    <row r="43" spans="1:14" x14ac:dyDescent="0.25">
      <c r="A43" s="8"/>
    </row>
    <row r="44" spans="1:14" x14ac:dyDescent="0.25">
      <c r="A44" s="8"/>
    </row>
    <row r="45" spans="1:14" x14ac:dyDescent="0.25">
      <c r="A45" s="8"/>
    </row>
    <row r="46" spans="1:14" x14ac:dyDescent="0.25">
      <c r="A46" s="8"/>
    </row>
    <row r="47" spans="1:14" x14ac:dyDescent="0.25">
      <c r="A47" s="8"/>
    </row>
    <row r="48" spans="1:14" x14ac:dyDescent="0.25">
      <c r="A48" s="8"/>
    </row>
    <row r="49" spans="1:9" x14ac:dyDescent="0.25">
      <c r="A49" s="8"/>
    </row>
    <row r="50" spans="1:9" x14ac:dyDescent="0.25">
      <c r="A50" s="8"/>
      <c r="H50" s="11"/>
      <c r="I50" s="11"/>
    </row>
    <row r="51" spans="1:9" x14ac:dyDescent="0.25">
      <c r="A51" s="8"/>
      <c r="H51" s="12"/>
      <c r="I51" s="13"/>
    </row>
    <row r="52" spans="1:9" x14ac:dyDescent="0.25">
      <c r="A52" s="8"/>
      <c r="H52" s="12"/>
      <c r="I52" s="13"/>
    </row>
    <row r="53" spans="1:9" x14ac:dyDescent="0.25">
      <c r="A53" s="8"/>
      <c r="H53" s="9"/>
      <c r="I53" s="9"/>
    </row>
    <row r="54" spans="1:9" x14ac:dyDescent="0.25">
      <c r="A54" s="8"/>
    </row>
    <row r="55" spans="1:9" x14ac:dyDescent="0.25">
      <c r="A55" s="8"/>
    </row>
    <row r="56" spans="1:9" x14ac:dyDescent="0.25">
      <c r="A56" s="8"/>
    </row>
    <row r="57" spans="1:9" x14ac:dyDescent="0.25">
      <c r="A57" s="8"/>
    </row>
    <row r="58" spans="1:9" x14ac:dyDescent="0.25">
      <c r="A58" s="8"/>
    </row>
    <row r="59" spans="1:9" x14ac:dyDescent="0.25">
      <c r="A59" s="8"/>
    </row>
    <row r="60" spans="1:9" x14ac:dyDescent="0.25">
      <c r="A60" s="8"/>
    </row>
    <row r="61" spans="1:9" x14ac:dyDescent="0.25">
      <c r="A61" s="8"/>
    </row>
    <row r="62" spans="1:9" x14ac:dyDescent="0.25">
      <c r="A62" s="8"/>
    </row>
    <row r="63" spans="1:9" x14ac:dyDescent="0.25">
      <c r="A63" s="8"/>
    </row>
    <row r="64" spans="1:9" x14ac:dyDescent="0.25">
      <c r="A64" s="8"/>
    </row>
    <row r="65" spans="1:1" x14ac:dyDescent="0.25">
      <c r="A65" s="8"/>
    </row>
    <row r="66" spans="1:1" x14ac:dyDescent="0.25">
      <c r="A66" s="8"/>
    </row>
    <row r="67" spans="1:1" x14ac:dyDescent="0.25">
      <c r="A67" s="8"/>
    </row>
    <row r="68" spans="1:1" x14ac:dyDescent="0.25">
      <c r="A68" s="8"/>
    </row>
    <row r="69" spans="1:1" x14ac:dyDescent="0.25">
      <c r="A69" s="8"/>
    </row>
    <row r="70" spans="1:1" x14ac:dyDescent="0.25">
      <c r="A70" s="8"/>
    </row>
    <row r="71" spans="1:1" x14ac:dyDescent="0.25">
      <c r="A71" s="8"/>
    </row>
    <row r="72" spans="1:1" x14ac:dyDescent="0.25">
      <c r="A72" s="8"/>
    </row>
    <row r="73" spans="1:1" x14ac:dyDescent="0.25">
      <c r="A73" s="8"/>
    </row>
    <row r="74" spans="1:1" x14ac:dyDescent="0.25">
      <c r="A74" s="8"/>
    </row>
    <row r="75" spans="1:1" x14ac:dyDescent="0.25">
      <c r="A75" s="8"/>
    </row>
    <row r="76" spans="1:1" x14ac:dyDescent="0.25">
      <c r="A76" s="8"/>
    </row>
    <row r="77" spans="1:1" x14ac:dyDescent="0.25">
      <c r="A77" s="8"/>
    </row>
    <row r="78" spans="1:1" x14ac:dyDescent="0.25">
      <c r="A78" s="8"/>
    </row>
    <row r="79" spans="1:1" x14ac:dyDescent="0.25">
      <c r="A79" s="8"/>
    </row>
    <row r="80" spans="1:1" x14ac:dyDescent="0.25">
      <c r="A80" s="8"/>
    </row>
    <row r="81" spans="1:1" x14ac:dyDescent="0.25">
      <c r="A81" s="8"/>
    </row>
    <row r="82" spans="1:1" x14ac:dyDescent="0.25">
      <c r="A82" s="8"/>
    </row>
    <row r="83" spans="1:1" x14ac:dyDescent="0.25">
      <c r="A83" s="8"/>
    </row>
    <row r="84" spans="1:1" x14ac:dyDescent="0.25">
      <c r="A84" s="8"/>
    </row>
    <row r="85" spans="1:1" x14ac:dyDescent="0.25">
      <c r="A85" s="8"/>
    </row>
    <row r="86" spans="1:1" x14ac:dyDescent="0.25">
      <c r="A86" s="8"/>
    </row>
    <row r="87" spans="1:1" x14ac:dyDescent="0.25">
      <c r="A87" s="8"/>
    </row>
    <row r="88" spans="1:1" x14ac:dyDescent="0.25">
      <c r="A88" s="8"/>
    </row>
    <row r="89" spans="1:1" x14ac:dyDescent="0.25">
      <c r="A89" s="8"/>
    </row>
    <row r="90" spans="1:1" x14ac:dyDescent="0.25">
      <c r="A90" s="8"/>
    </row>
    <row r="91" spans="1:1" x14ac:dyDescent="0.25">
      <c r="A91" s="8"/>
    </row>
    <row r="92" spans="1:1" x14ac:dyDescent="0.25">
      <c r="A92" s="8"/>
    </row>
    <row r="93" spans="1:1" x14ac:dyDescent="0.25">
      <c r="A93" s="8"/>
    </row>
    <row r="94" spans="1:1" x14ac:dyDescent="0.25">
      <c r="A94" s="8"/>
    </row>
    <row r="95" spans="1:1" x14ac:dyDescent="0.25">
      <c r="A95" s="8"/>
    </row>
    <row r="96" spans="1:1" x14ac:dyDescent="0.25">
      <c r="A96" s="8"/>
    </row>
    <row r="97" spans="1:1" x14ac:dyDescent="0.25">
      <c r="A97" s="8"/>
    </row>
    <row r="98" spans="1:1" x14ac:dyDescent="0.25">
      <c r="A98" s="8"/>
    </row>
    <row r="99" spans="1:1" x14ac:dyDescent="0.25">
      <c r="A99" s="8"/>
    </row>
    <row r="100" spans="1:1" x14ac:dyDescent="0.25">
      <c r="A100" s="8"/>
    </row>
    <row r="101" spans="1:1" x14ac:dyDescent="0.25">
      <c r="A101" s="8"/>
    </row>
    <row r="102" spans="1:1" x14ac:dyDescent="0.25">
      <c r="A102" s="8"/>
    </row>
    <row r="103" spans="1:1" x14ac:dyDescent="0.25">
      <c r="A103" s="8"/>
    </row>
    <row r="104" spans="1:1" x14ac:dyDescent="0.25">
      <c r="A104" s="8"/>
    </row>
    <row r="105" spans="1:1" x14ac:dyDescent="0.25">
      <c r="A105" s="8"/>
    </row>
    <row r="106" spans="1:1" x14ac:dyDescent="0.25">
      <c r="A106" s="8"/>
    </row>
    <row r="107" spans="1:1" x14ac:dyDescent="0.25">
      <c r="A107" s="8"/>
    </row>
    <row r="108" spans="1:1" x14ac:dyDescent="0.25">
      <c r="A108" s="8"/>
    </row>
    <row r="109" spans="1:1" x14ac:dyDescent="0.25">
      <c r="A109" s="8"/>
    </row>
    <row r="110" spans="1:1" x14ac:dyDescent="0.25">
      <c r="A110" s="8"/>
    </row>
    <row r="111" spans="1:1" x14ac:dyDescent="0.25">
      <c r="A111" s="8"/>
    </row>
    <row r="112" spans="1:1" x14ac:dyDescent="0.25">
      <c r="A112" s="8"/>
    </row>
    <row r="113" spans="1:1" x14ac:dyDescent="0.25">
      <c r="A113" s="8"/>
    </row>
    <row r="114" spans="1:1" x14ac:dyDescent="0.25">
      <c r="A114" s="8"/>
    </row>
    <row r="115" spans="1:1" x14ac:dyDescent="0.25">
      <c r="A115" s="8"/>
    </row>
    <row r="116" spans="1:1" x14ac:dyDescent="0.25">
      <c r="A116" s="8"/>
    </row>
    <row r="117" spans="1:1" x14ac:dyDescent="0.25">
      <c r="A117" s="8"/>
    </row>
    <row r="118" spans="1:1" x14ac:dyDescent="0.25">
      <c r="A118" s="8"/>
    </row>
    <row r="119" spans="1:1" x14ac:dyDescent="0.25">
      <c r="A119" s="8"/>
    </row>
    <row r="120" spans="1:1" x14ac:dyDescent="0.25">
      <c r="A120" s="8"/>
    </row>
    <row r="121" spans="1:1" x14ac:dyDescent="0.25">
      <c r="A121" s="8"/>
    </row>
    <row r="122" spans="1:1" x14ac:dyDescent="0.25">
      <c r="A122" s="8"/>
    </row>
    <row r="123" spans="1:1" x14ac:dyDescent="0.25">
      <c r="A123" s="8"/>
    </row>
    <row r="124" spans="1:1" x14ac:dyDescent="0.25">
      <c r="A124" s="8"/>
    </row>
    <row r="125" spans="1:1" x14ac:dyDescent="0.25">
      <c r="A125" s="8"/>
    </row>
    <row r="126" spans="1:1" x14ac:dyDescent="0.25">
      <c r="A126" s="8"/>
    </row>
    <row r="127" spans="1:1" x14ac:dyDescent="0.25">
      <c r="A127" s="8"/>
    </row>
    <row r="128" spans="1:1" x14ac:dyDescent="0.25">
      <c r="A128" s="8"/>
    </row>
    <row r="129" spans="1:1" x14ac:dyDescent="0.25">
      <c r="A129" s="8"/>
    </row>
    <row r="130" spans="1:1" x14ac:dyDescent="0.25">
      <c r="A130" s="8"/>
    </row>
    <row r="131" spans="1:1" x14ac:dyDescent="0.25">
      <c r="A131" s="8"/>
    </row>
    <row r="132" spans="1:1" x14ac:dyDescent="0.25">
      <c r="A132" s="8"/>
    </row>
    <row r="133" spans="1:1" x14ac:dyDescent="0.25">
      <c r="A133" s="8"/>
    </row>
    <row r="134" spans="1:1" x14ac:dyDescent="0.25">
      <c r="A134" s="8"/>
    </row>
    <row r="135" spans="1:1" x14ac:dyDescent="0.25">
      <c r="A135" s="8"/>
    </row>
    <row r="136" spans="1:1" x14ac:dyDescent="0.25">
      <c r="A136" s="8"/>
    </row>
    <row r="137" spans="1:1" x14ac:dyDescent="0.25">
      <c r="A137" s="8"/>
    </row>
    <row r="138" spans="1:1" x14ac:dyDescent="0.25">
      <c r="A138" s="8"/>
    </row>
    <row r="139" spans="1:1" x14ac:dyDescent="0.25">
      <c r="A139" s="8"/>
    </row>
    <row r="140" spans="1:1" x14ac:dyDescent="0.25">
      <c r="A140" s="8"/>
    </row>
    <row r="141" spans="1:1" x14ac:dyDescent="0.25">
      <c r="A141" s="8"/>
    </row>
    <row r="142" spans="1:1" x14ac:dyDescent="0.25">
      <c r="A142" s="8"/>
    </row>
    <row r="143" spans="1:1" x14ac:dyDescent="0.25">
      <c r="A143" s="8"/>
    </row>
    <row r="144" spans="1:1" x14ac:dyDescent="0.25">
      <c r="A144" s="8"/>
    </row>
    <row r="145" spans="1:1" x14ac:dyDescent="0.25">
      <c r="A145" s="8"/>
    </row>
    <row r="146" spans="1:1" x14ac:dyDescent="0.25">
      <c r="A146" s="8"/>
    </row>
    <row r="147" spans="1:1" x14ac:dyDescent="0.25">
      <c r="A147" s="8"/>
    </row>
    <row r="148" spans="1:1" x14ac:dyDescent="0.25">
      <c r="A148" s="8"/>
    </row>
    <row r="149" spans="1:1" x14ac:dyDescent="0.25">
      <c r="A149" s="8"/>
    </row>
    <row r="150" spans="1:1" x14ac:dyDescent="0.25">
      <c r="A150" s="8"/>
    </row>
    <row r="151" spans="1:1" x14ac:dyDescent="0.25">
      <c r="A151" s="8"/>
    </row>
    <row r="152" spans="1:1" x14ac:dyDescent="0.25">
      <c r="A152" s="8"/>
    </row>
    <row r="153" spans="1:1" x14ac:dyDescent="0.25">
      <c r="A153" s="8"/>
    </row>
    <row r="154" spans="1:1" x14ac:dyDescent="0.25">
      <c r="A154" s="8"/>
    </row>
    <row r="155" spans="1:1" x14ac:dyDescent="0.25">
      <c r="A155" s="8"/>
    </row>
    <row r="156" spans="1:1" x14ac:dyDescent="0.25">
      <c r="A156" s="8"/>
    </row>
    <row r="157" spans="1:1" x14ac:dyDescent="0.25">
      <c r="A157" s="8"/>
    </row>
    <row r="158" spans="1:1" x14ac:dyDescent="0.25">
      <c r="A158" s="8"/>
    </row>
    <row r="159" spans="1:1" x14ac:dyDescent="0.25">
      <c r="A159" s="8"/>
    </row>
    <row r="160" spans="1:1" x14ac:dyDescent="0.25">
      <c r="A160" s="8"/>
    </row>
    <row r="161" spans="1:1" x14ac:dyDescent="0.25">
      <c r="A161" s="8"/>
    </row>
    <row r="162" spans="1:1" x14ac:dyDescent="0.25">
      <c r="A162" s="8"/>
    </row>
    <row r="163" spans="1:1" x14ac:dyDescent="0.25">
      <c r="A163" s="8"/>
    </row>
    <row r="164" spans="1:1" x14ac:dyDescent="0.25">
      <c r="A164" s="8"/>
    </row>
    <row r="165" spans="1:1" x14ac:dyDescent="0.25">
      <c r="A165" s="8"/>
    </row>
    <row r="166" spans="1:1" x14ac:dyDescent="0.25">
      <c r="A166" s="8"/>
    </row>
    <row r="167" spans="1:1" x14ac:dyDescent="0.25">
      <c r="A167" s="8"/>
    </row>
    <row r="168" spans="1:1" x14ac:dyDescent="0.25">
      <c r="A168" s="8"/>
    </row>
    <row r="169" spans="1:1" x14ac:dyDescent="0.25">
      <c r="A169" s="8"/>
    </row>
    <row r="170" spans="1:1" x14ac:dyDescent="0.25">
      <c r="A170" s="8"/>
    </row>
    <row r="171" spans="1:1" x14ac:dyDescent="0.25">
      <c r="A171" s="8"/>
    </row>
    <row r="172" spans="1:1" x14ac:dyDescent="0.25">
      <c r="A172" s="8"/>
    </row>
    <row r="173" spans="1:1" x14ac:dyDescent="0.25">
      <c r="A173" s="8"/>
    </row>
    <row r="174" spans="1:1" x14ac:dyDescent="0.25">
      <c r="A174" s="8"/>
    </row>
    <row r="175" spans="1:1" x14ac:dyDescent="0.25">
      <c r="A175" s="8"/>
    </row>
    <row r="176" spans="1:1" x14ac:dyDescent="0.25">
      <c r="A176" s="8"/>
    </row>
    <row r="177" spans="1:1" x14ac:dyDescent="0.25">
      <c r="A177" s="8"/>
    </row>
    <row r="178" spans="1:1" x14ac:dyDescent="0.25">
      <c r="A178" s="8"/>
    </row>
    <row r="179" spans="1:1" x14ac:dyDescent="0.25">
      <c r="A179" s="8"/>
    </row>
    <row r="180" spans="1:1" x14ac:dyDescent="0.25">
      <c r="A180" s="8"/>
    </row>
    <row r="181" spans="1:1" x14ac:dyDescent="0.25">
      <c r="A181" s="8"/>
    </row>
    <row r="182" spans="1:1" x14ac:dyDescent="0.25">
      <c r="A182" s="8"/>
    </row>
    <row r="183" spans="1:1" x14ac:dyDescent="0.25">
      <c r="A183" s="8"/>
    </row>
    <row r="184" spans="1:1" x14ac:dyDescent="0.25">
      <c r="A184" s="8"/>
    </row>
    <row r="185" spans="1:1" x14ac:dyDescent="0.25">
      <c r="A185" s="8"/>
    </row>
    <row r="186" spans="1:1" x14ac:dyDescent="0.25">
      <c r="A186" s="8"/>
    </row>
    <row r="187" spans="1:1" x14ac:dyDescent="0.25">
      <c r="A187" s="8"/>
    </row>
    <row r="188" spans="1:1" x14ac:dyDescent="0.25">
      <c r="A188" s="8"/>
    </row>
    <row r="189" spans="1:1" x14ac:dyDescent="0.25">
      <c r="A189" s="8"/>
    </row>
    <row r="190" spans="1:1" x14ac:dyDescent="0.25">
      <c r="A190" s="8"/>
    </row>
    <row r="191" spans="1:1" x14ac:dyDescent="0.25">
      <c r="A191" s="8"/>
    </row>
    <row r="192" spans="1:1" x14ac:dyDescent="0.25">
      <c r="A192" s="8"/>
    </row>
    <row r="193" spans="1:1" x14ac:dyDescent="0.25">
      <c r="A193" s="8"/>
    </row>
    <row r="194" spans="1:1" x14ac:dyDescent="0.25">
      <c r="A194" s="8"/>
    </row>
    <row r="195" spans="1:1" x14ac:dyDescent="0.25">
      <c r="A195" s="8"/>
    </row>
    <row r="196" spans="1:1" x14ac:dyDescent="0.25">
      <c r="A196" s="8"/>
    </row>
    <row r="197" spans="1:1" x14ac:dyDescent="0.25">
      <c r="A197" s="8"/>
    </row>
    <row r="198" spans="1:1" x14ac:dyDescent="0.25">
      <c r="A198" s="8"/>
    </row>
    <row r="199" spans="1:1" x14ac:dyDescent="0.25">
      <c r="A199" s="8"/>
    </row>
    <row r="200" spans="1:1" x14ac:dyDescent="0.25">
      <c r="A200" s="8"/>
    </row>
    <row r="201" spans="1:1" x14ac:dyDescent="0.25">
      <c r="A201" s="8"/>
    </row>
    <row r="202" spans="1:1" x14ac:dyDescent="0.25">
      <c r="A202" s="8"/>
    </row>
    <row r="203" spans="1:1" x14ac:dyDescent="0.25">
      <c r="A203" s="8"/>
    </row>
    <row r="204" spans="1:1" x14ac:dyDescent="0.25">
      <c r="A204" s="8"/>
    </row>
    <row r="205" spans="1:1" x14ac:dyDescent="0.25">
      <c r="A205" s="8"/>
    </row>
    <row r="206" spans="1:1" x14ac:dyDescent="0.25">
      <c r="A206" s="8"/>
    </row>
    <row r="207" spans="1:1" x14ac:dyDescent="0.25">
      <c r="A207" s="8"/>
    </row>
    <row r="208" spans="1:1" x14ac:dyDescent="0.25">
      <c r="A208" s="8"/>
    </row>
    <row r="209" spans="1:1" x14ac:dyDescent="0.25">
      <c r="A209" s="8"/>
    </row>
    <row r="210" spans="1:1" x14ac:dyDescent="0.25">
      <c r="A210" s="8"/>
    </row>
    <row r="211" spans="1:1" x14ac:dyDescent="0.25">
      <c r="A211" s="8"/>
    </row>
    <row r="212" spans="1:1" x14ac:dyDescent="0.25">
      <c r="A212" s="8"/>
    </row>
    <row r="213" spans="1:1" x14ac:dyDescent="0.25">
      <c r="A213" s="8"/>
    </row>
    <row r="214" spans="1:1" x14ac:dyDescent="0.25">
      <c r="A214" s="8"/>
    </row>
    <row r="215" spans="1:1" x14ac:dyDescent="0.25">
      <c r="A215" s="8"/>
    </row>
    <row r="216" spans="1:1" x14ac:dyDescent="0.25">
      <c r="A216" s="8"/>
    </row>
    <row r="217" spans="1:1" x14ac:dyDescent="0.25">
      <c r="A217" s="8"/>
    </row>
    <row r="218" spans="1:1" x14ac:dyDescent="0.25">
      <c r="A218" s="8"/>
    </row>
    <row r="219" spans="1:1" x14ac:dyDescent="0.25">
      <c r="A219" s="8"/>
    </row>
    <row r="220" spans="1:1" x14ac:dyDescent="0.25">
      <c r="A220" s="8"/>
    </row>
    <row r="221" spans="1:1" x14ac:dyDescent="0.25">
      <c r="A221" s="8"/>
    </row>
    <row r="222" spans="1:1" x14ac:dyDescent="0.25">
      <c r="A222" s="8"/>
    </row>
    <row r="223" spans="1:1" x14ac:dyDescent="0.25">
      <c r="A223" s="8"/>
    </row>
    <row r="224" spans="1:1" x14ac:dyDescent="0.25">
      <c r="A224" s="8"/>
    </row>
    <row r="225" spans="1:1" x14ac:dyDescent="0.25">
      <c r="A225" s="8"/>
    </row>
    <row r="226" spans="1:1" x14ac:dyDescent="0.25">
      <c r="A226" s="8"/>
    </row>
    <row r="227" spans="1:1" x14ac:dyDescent="0.25">
      <c r="A227" s="8"/>
    </row>
    <row r="228" spans="1:1" x14ac:dyDescent="0.25">
      <c r="A228" s="8"/>
    </row>
    <row r="229" spans="1:1" x14ac:dyDescent="0.25">
      <c r="A229" s="8"/>
    </row>
    <row r="230" spans="1:1" x14ac:dyDescent="0.25">
      <c r="A230" s="8"/>
    </row>
    <row r="231" spans="1:1" x14ac:dyDescent="0.25">
      <c r="A231" s="8"/>
    </row>
    <row r="232" spans="1:1" x14ac:dyDescent="0.25">
      <c r="A232" s="8"/>
    </row>
    <row r="233" spans="1:1" x14ac:dyDescent="0.25">
      <c r="A233" s="8"/>
    </row>
    <row r="234" spans="1:1" x14ac:dyDescent="0.25">
      <c r="A234" s="8"/>
    </row>
    <row r="235" spans="1:1" x14ac:dyDescent="0.25">
      <c r="A235" s="8"/>
    </row>
    <row r="236" spans="1:1" x14ac:dyDescent="0.25">
      <c r="A236" s="8"/>
    </row>
    <row r="237" spans="1:1" x14ac:dyDescent="0.25">
      <c r="A237" s="8"/>
    </row>
    <row r="238" spans="1:1" x14ac:dyDescent="0.25">
      <c r="A238" s="8"/>
    </row>
    <row r="239" spans="1:1" x14ac:dyDescent="0.25">
      <c r="A239" s="8"/>
    </row>
    <row r="240" spans="1:1" x14ac:dyDescent="0.25">
      <c r="A240" s="8"/>
    </row>
    <row r="241" spans="1:1" x14ac:dyDescent="0.25">
      <c r="A241" s="8"/>
    </row>
    <row r="242" spans="1:1" x14ac:dyDescent="0.25">
      <c r="A242" s="8"/>
    </row>
    <row r="243" spans="1:1" x14ac:dyDescent="0.25">
      <c r="A243" s="8"/>
    </row>
    <row r="244" spans="1:1" x14ac:dyDescent="0.25">
      <c r="A244" s="8"/>
    </row>
    <row r="245" spans="1:1" x14ac:dyDescent="0.25">
      <c r="A245" s="8"/>
    </row>
    <row r="246" spans="1:1" x14ac:dyDescent="0.25">
      <c r="A246" s="8"/>
    </row>
    <row r="247" spans="1:1" x14ac:dyDescent="0.25">
      <c r="A247" s="8"/>
    </row>
    <row r="248" spans="1:1" x14ac:dyDescent="0.25">
      <c r="A248" s="8"/>
    </row>
    <row r="249" spans="1:1" x14ac:dyDescent="0.25">
      <c r="A249" s="8"/>
    </row>
    <row r="250" spans="1:1" x14ac:dyDescent="0.25">
      <c r="A250" s="8"/>
    </row>
    <row r="251" spans="1:1" x14ac:dyDescent="0.25">
      <c r="A251" s="8"/>
    </row>
    <row r="252" spans="1:1" x14ac:dyDescent="0.25">
      <c r="A252" s="8"/>
    </row>
    <row r="253" spans="1:1" x14ac:dyDescent="0.25">
      <c r="A253" s="8"/>
    </row>
    <row r="254" spans="1:1" x14ac:dyDescent="0.25">
      <c r="A254" s="8"/>
    </row>
    <row r="255" spans="1:1" x14ac:dyDescent="0.25">
      <c r="A255" s="8"/>
    </row>
    <row r="256" spans="1:1" x14ac:dyDescent="0.25">
      <c r="A256" s="8"/>
    </row>
    <row r="257" spans="1:1" x14ac:dyDescent="0.25">
      <c r="A257" s="8"/>
    </row>
    <row r="258" spans="1:1" x14ac:dyDescent="0.25">
      <c r="A258" s="8"/>
    </row>
    <row r="259" spans="1:1" x14ac:dyDescent="0.25">
      <c r="A259" s="8"/>
    </row>
    <row r="260" spans="1:1" x14ac:dyDescent="0.25">
      <c r="A260" s="8"/>
    </row>
    <row r="261" spans="1:1" x14ac:dyDescent="0.25">
      <c r="A261" s="8"/>
    </row>
    <row r="262" spans="1:1" x14ac:dyDescent="0.25">
      <c r="A262" s="8"/>
    </row>
    <row r="263" spans="1:1" x14ac:dyDescent="0.25">
      <c r="A263" s="8"/>
    </row>
    <row r="264" spans="1:1" x14ac:dyDescent="0.25">
      <c r="A264" s="8"/>
    </row>
    <row r="265" spans="1:1" x14ac:dyDescent="0.25">
      <c r="A265" s="8"/>
    </row>
    <row r="266" spans="1:1" x14ac:dyDescent="0.25">
      <c r="A266" s="8"/>
    </row>
    <row r="267" spans="1:1" x14ac:dyDescent="0.25">
      <c r="A267" s="8"/>
    </row>
    <row r="268" spans="1:1" x14ac:dyDescent="0.25">
      <c r="A268" s="8"/>
    </row>
    <row r="269" spans="1:1" x14ac:dyDescent="0.25">
      <c r="A269" s="8"/>
    </row>
    <row r="270" spans="1:1" x14ac:dyDescent="0.25">
      <c r="A270" s="8"/>
    </row>
    <row r="271" spans="1:1" x14ac:dyDescent="0.25">
      <c r="A271" s="8"/>
    </row>
    <row r="272" spans="1:1" x14ac:dyDescent="0.25">
      <c r="A272" s="8"/>
    </row>
    <row r="273" spans="1:1" x14ac:dyDescent="0.25">
      <c r="A273" s="8"/>
    </row>
    <row r="274" spans="1:1" x14ac:dyDescent="0.25">
      <c r="A274" s="8"/>
    </row>
    <row r="275" spans="1:1" x14ac:dyDescent="0.25">
      <c r="A275" s="8"/>
    </row>
    <row r="276" spans="1:1" x14ac:dyDescent="0.25">
      <c r="A276" s="8"/>
    </row>
    <row r="277" spans="1:1" x14ac:dyDescent="0.25">
      <c r="A277" s="8"/>
    </row>
    <row r="278" spans="1:1" x14ac:dyDescent="0.25">
      <c r="A278" s="8"/>
    </row>
    <row r="279" spans="1:1" x14ac:dyDescent="0.25">
      <c r="A279" s="8"/>
    </row>
    <row r="280" spans="1:1" x14ac:dyDescent="0.25">
      <c r="A280" s="8"/>
    </row>
    <row r="281" spans="1:1" x14ac:dyDescent="0.25">
      <c r="A281" s="8"/>
    </row>
    <row r="282" spans="1:1" x14ac:dyDescent="0.25">
      <c r="A282" s="8"/>
    </row>
    <row r="283" spans="1:1" x14ac:dyDescent="0.25">
      <c r="A283" s="8"/>
    </row>
    <row r="284" spans="1:1" x14ac:dyDescent="0.25">
      <c r="A284" s="8"/>
    </row>
    <row r="285" spans="1:1" x14ac:dyDescent="0.25">
      <c r="A285" s="8"/>
    </row>
    <row r="286" spans="1:1" x14ac:dyDescent="0.25">
      <c r="A286" s="8"/>
    </row>
    <row r="287" spans="1:1" x14ac:dyDescent="0.25">
      <c r="A287" s="8"/>
    </row>
    <row r="288" spans="1:1" x14ac:dyDescent="0.25">
      <c r="A288" s="8"/>
    </row>
    <row r="289" spans="1:1" x14ac:dyDescent="0.25">
      <c r="A289" s="8"/>
    </row>
    <row r="290" spans="1:1" x14ac:dyDescent="0.25">
      <c r="A290" s="8"/>
    </row>
    <row r="291" spans="1:1" x14ac:dyDescent="0.25">
      <c r="A291" s="8"/>
    </row>
    <row r="292" spans="1:1" x14ac:dyDescent="0.25">
      <c r="A292" s="8"/>
    </row>
    <row r="293" spans="1:1" x14ac:dyDescent="0.25">
      <c r="A293" s="8"/>
    </row>
    <row r="294" spans="1:1" x14ac:dyDescent="0.25">
      <c r="A294" s="8"/>
    </row>
    <row r="295" spans="1:1" x14ac:dyDescent="0.25">
      <c r="A295" s="8"/>
    </row>
    <row r="296" spans="1:1" x14ac:dyDescent="0.25">
      <c r="A296" s="8"/>
    </row>
    <row r="297" spans="1:1" x14ac:dyDescent="0.25">
      <c r="A297" s="8"/>
    </row>
    <row r="298" spans="1:1" x14ac:dyDescent="0.25">
      <c r="A298" s="8"/>
    </row>
    <row r="299" spans="1:1" x14ac:dyDescent="0.25">
      <c r="A299" s="8"/>
    </row>
    <row r="300" spans="1:1" x14ac:dyDescent="0.25">
      <c r="A300" s="8"/>
    </row>
    <row r="301" spans="1:1" x14ac:dyDescent="0.25">
      <c r="A301" s="8"/>
    </row>
    <row r="302" spans="1:1" x14ac:dyDescent="0.25">
      <c r="A302" s="8"/>
    </row>
    <row r="303" spans="1:1" x14ac:dyDescent="0.25">
      <c r="A303" s="8"/>
    </row>
    <row r="304" spans="1:1" x14ac:dyDescent="0.25">
      <c r="A304" s="8"/>
    </row>
    <row r="305" spans="1:1" x14ac:dyDescent="0.25">
      <c r="A305" s="8"/>
    </row>
    <row r="306" spans="1:1" x14ac:dyDescent="0.25">
      <c r="A306" s="8"/>
    </row>
    <row r="307" spans="1:1" x14ac:dyDescent="0.25">
      <c r="A307" s="8"/>
    </row>
    <row r="308" spans="1:1" x14ac:dyDescent="0.25">
      <c r="A308" s="8"/>
    </row>
    <row r="309" spans="1:1" x14ac:dyDescent="0.25">
      <c r="A309" s="8"/>
    </row>
    <row r="310" spans="1:1" x14ac:dyDescent="0.25">
      <c r="A310" s="8"/>
    </row>
    <row r="311" spans="1:1" x14ac:dyDescent="0.25">
      <c r="A311" s="8"/>
    </row>
    <row r="312" spans="1:1" x14ac:dyDescent="0.25">
      <c r="A312" s="8"/>
    </row>
    <row r="313" spans="1:1" x14ac:dyDescent="0.25">
      <c r="A313" s="8"/>
    </row>
    <row r="314" spans="1:1" x14ac:dyDescent="0.25">
      <c r="A314" s="8"/>
    </row>
    <row r="315" spans="1:1" x14ac:dyDescent="0.25">
      <c r="A315" s="8"/>
    </row>
    <row r="316" spans="1:1" x14ac:dyDescent="0.25">
      <c r="A316" s="8"/>
    </row>
    <row r="317" spans="1:1" x14ac:dyDescent="0.25">
      <c r="A317" s="8"/>
    </row>
    <row r="318" spans="1:1" x14ac:dyDescent="0.25">
      <c r="A318" s="8"/>
    </row>
    <row r="319" spans="1:1" x14ac:dyDescent="0.25">
      <c r="A319" s="8"/>
    </row>
    <row r="320" spans="1:1" x14ac:dyDescent="0.25">
      <c r="A320" s="8"/>
    </row>
    <row r="321" spans="1:1" x14ac:dyDescent="0.25">
      <c r="A321" s="8"/>
    </row>
    <row r="322" spans="1:1" x14ac:dyDescent="0.25">
      <c r="A322" s="8"/>
    </row>
    <row r="323" spans="1:1" x14ac:dyDescent="0.25">
      <c r="A323" s="8"/>
    </row>
    <row r="324" spans="1:1" x14ac:dyDescent="0.25">
      <c r="A324" s="8"/>
    </row>
    <row r="325" spans="1:1" x14ac:dyDescent="0.25">
      <c r="A325" s="8"/>
    </row>
    <row r="326" spans="1:1" x14ac:dyDescent="0.25">
      <c r="A326" s="8"/>
    </row>
    <row r="327" spans="1:1" x14ac:dyDescent="0.25">
      <c r="A327" s="8"/>
    </row>
    <row r="328" spans="1:1" x14ac:dyDescent="0.25">
      <c r="A328" s="8"/>
    </row>
    <row r="329" spans="1:1" x14ac:dyDescent="0.25">
      <c r="A329" s="8"/>
    </row>
    <row r="330" spans="1:1" x14ac:dyDescent="0.25">
      <c r="A330" s="8"/>
    </row>
    <row r="331" spans="1:1" x14ac:dyDescent="0.25">
      <c r="A331" s="8"/>
    </row>
    <row r="332" spans="1:1" x14ac:dyDescent="0.25">
      <c r="A332" s="8"/>
    </row>
    <row r="333" spans="1:1" x14ac:dyDescent="0.25">
      <c r="A333" s="8"/>
    </row>
    <row r="334" spans="1:1" x14ac:dyDescent="0.25">
      <c r="A334" s="8"/>
    </row>
    <row r="335" spans="1:1" x14ac:dyDescent="0.25">
      <c r="A335" s="8"/>
    </row>
    <row r="336" spans="1:1" x14ac:dyDescent="0.25">
      <c r="A336" s="8"/>
    </row>
    <row r="337" spans="1:1" x14ac:dyDescent="0.25">
      <c r="A337" s="8"/>
    </row>
    <row r="338" spans="1:1" x14ac:dyDescent="0.25">
      <c r="A338" s="8"/>
    </row>
    <row r="339" spans="1:1" x14ac:dyDescent="0.25">
      <c r="A339" s="8"/>
    </row>
    <row r="340" spans="1:1" x14ac:dyDescent="0.25">
      <c r="A340" s="8"/>
    </row>
    <row r="341" spans="1:1" x14ac:dyDescent="0.25">
      <c r="A341" s="8"/>
    </row>
    <row r="342" spans="1:1" x14ac:dyDescent="0.25">
      <c r="A342" s="8"/>
    </row>
    <row r="343" spans="1:1" x14ac:dyDescent="0.25">
      <c r="A343" s="8"/>
    </row>
    <row r="344" spans="1:1" x14ac:dyDescent="0.25">
      <c r="A344" s="8"/>
    </row>
    <row r="345" spans="1:1" x14ac:dyDescent="0.25">
      <c r="A345" s="8"/>
    </row>
    <row r="346" spans="1:1" x14ac:dyDescent="0.25">
      <c r="A346" s="8"/>
    </row>
    <row r="347" spans="1:1" x14ac:dyDescent="0.25">
      <c r="A347" s="8"/>
    </row>
    <row r="348" spans="1:1" x14ac:dyDescent="0.25">
      <c r="A348" s="8"/>
    </row>
    <row r="349" spans="1:1" x14ac:dyDescent="0.25">
      <c r="A349" s="8"/>
    </row>
    <row r="350" spans="1:1" x14ac:dyDescent="0.25">
      <c r="A350" s="8"/>
    </row>
    <row r="351" spans="1:1" x14ac:dyDescent="0.25">
      <c r="A351" s="8"/>
    </row>
    <row r="352" spans="1:1" x14ac:dyDescent="0.25">
      <c r="A352" s="8"/>
    </row>
    <row r="353" spans="1:1" x14ac:dyDescent="0.25">
      <c r="A353" s="8"/>
    </row>
    <row r="354" spans="1:1" x14ac:dyDescent="0.25">
      <c r="A354" s="8"/>
    </row>
    <row r="355" spans="1:1" x14ac:dyDescent="0.25">
      <c r="A355" s="8"/>
    </row>
    <row r="356" spans="1:1" x14ac:dyDescent="0.25">
      <c r="A356" s="8"/>
    </row>
    <row r="357" spans="1:1" x14ac:dyDescent="0.25">
      <c r="A357" s="8"/>
    </row>
    <row r="358" spans="1:1" x14ac:dyDescent="0.25">
      <c r="A358" s="8"/>
    </row>
    <row r="359" spans="1:1" x14ac:dyDescent="0.25">
      <c r="A359" s="8"/>
    </row>
    <row r="360" spans="1:1" x14ac:dyDescent="0.25">
      <c r="A360" s="8"/>
    </row>
    <row r="361" spans="1:1" x14ac:dyDescent="0.25">
      <c r="A361" s="8"/>
    </row>
    <row r="362" spans="1:1" x14ac:dyDescent="0.25">
      <c r="A362" s="8"/>
    </row>
    <row r="363" spans="1:1" x14ac:dyDescent="0.25">
      <c r="A363" s="8"/>
    </row>
    <row r="364" spans="1:1" x14ac:dyDescent="0.25">
      <c r="A364" s="8"/>
    </row>
    <row r="365" spans="1:1" x14ac:dyDescent="0.25">
      <c r="A365" s="8"/>
    </row>
    <row r="366" spans="1:1" x14ac:dyDescent="0.25">
      <c r="A366" s="8"/>
    </row>
    <row r="367" spans="1:1" x14ac:dyDescent="0.25">
      <c r="A367" s="8"/>
    </row>
    <row r="368" spans="1:1" x14ac:dyDescent="0.25">
      <c r="A368" s="8"/>
    </row>
    <row r="369" spans="1:1" x14ac:dyDescent="0.25">
      <c r="A369" s="8"/>
    </row>
    <row r="370" spans="1:1" x14ac:dyDescent="0.25">
      <c r="A370" s="8"/>
    </row>
    <row r="371" spans="1:1" x14ac:dyDescent="0.25">
      <c r="A371" s="8"/>
    </row>
    <row r="372" spans="1:1" x14ac:dyDescent="0.25">
      <c r="A372" s="8"/>
    </row>
    <row r="373" spans="1:1" x14ac:dyDescent="0.25">
      <c r="A373" s="8"/>
    </row>
    <row r="374" spans="1:1" x14ac:dyDescent="0.25">
      <c r="A374" s="8"/>
    </row>
    <row r="375" spans="1:1" x14ac:dyDescent="0.25">
      <c r="A375" s="8"/>
    </row>
    <row r="376" spans="1:1" x14ac:dyDescent="0.25">
      <c r="A376" s="8"/>
    </row>
    <row r="377" spans="1:1" x14ac:dyDescent="0.25">
      <c r="A377" s="8"/>
    </row>
    <row r="378" spans="1:1" x14ac:dyDescent="0.25">
      <c r="A378" s="8"/>
    </row>
    <row r="379" spans="1:1" x14ac:dyDescent="0.25">
      <c r="A379" s="8"/>
    </row>
    <row r="380" spans="1:1" x14ac:dyDescent="0.25">
      <c r="A380" s="8"/>
    </row>
    <row r="381" spans="1:1" x14ac:dyDescent="0.25">
      <c r="A381" s="8"/>
    </row>
    <row r="382" spans="1:1" x14ac:dyDescent="0.25">
      <c r="A382" s="8"/>
    </row>
    <row r="383" spans="1:1" x14ac:dyDescent="0.25">
      <c r="A383" s="8"/>
    </row>
    <row r="384" spans="1:1" x14ac:dyDescent="0.25">
      <c r="A384" s="8"/>
    </row>
    <row r="385" spans="1:1" x14ac:dyDescent="0.25">
      <c r="A385" s="8"/>
    </row>
    <row r="386" spans="1:1" x14ac:dyDescent="0.25">
      <c r="A386" s="8"/>
    </row>
    <row r="387" spans="1:1" x14ac:dyDescent="0.25">
      <c r="A387" s="8"/>
    </row>
    <row r="388" spans="1:1" x14ac:dyDescent="0.25">
      <c r="A388" s="8"/>
    </row>
    <row r="389" spans="1:1" x14ac:dyDescent="0.25">
      <c r="A389" s="8"/>
    </row>
    <row r="390" spans="1:1" x14ac:dyDescent="0.25">
      <c r="A390" s="8"/>
    </row>
    <row r="391" spans="1:1" x14ac:dyDescent="0.25">
      <c r="A391" s="8"/>
    </row>
    <row r="392" spans="1:1" x14ac:dyDescent="0.25">
      <c r="A392" s="8"/>
    </row>
    <row r="393" spans="1:1" x14ac:dyDescent="0.25">
      <c r="A393" s="8"/>
    </row>
    <row r="394" spans="1:1" x14ac:dyDescent="0.25">
      <c r="A394" s="8"/>
    </row>
    <row r="395" spans="1:1" x14ac:dyDescent="0.25">
      <c r="A395" s="8"/>
    </row>
    <row r="396" spans="1:1" x14ac:dyDescent="0.25">
      <c r="A396" s="8"/>
    </row>
    <row r="397" spans="1:1" x14ac:dyDescent="0.25">
      <c r="A397" s="8"/>
    </row>
    <row r="398" spans="1:1" x14ac:dyDescent="0.25">
      <c r="A398" s="8"/>
    </row>
    <row r="399" spans="1:1" x14ac:dyDescent="0.25">
      <c r="A399" s="8"/>
    </row>
    <row r="400" spans="1:1" x14ac:dyDescent="0.25">
      <c r="A400" s="8"/>
    </row>
    <row r="401" spans="1:1" x14ac:dyDescent="0.25">
      <c r="A401" s="8"/>
    </row>
    <row r="402" spans="1:1" x14ac:dyDescent="0.25">
      <c r="A402" s="8"/>
    </row>
    <row r="403" spans="1:1" x14ac:dyDescent="0.25">
      <c r="A403" s="8"/>
    </row>
    <row r="404" spans="1:1" x14ac:dyDescent="0.25">
      <c r="A404" s="8"/>
    </row>
    <row r="405" spans="1:1" x14ac:dyDescent="0.25">
      <c r="A405" s="8"/>
    </row>
    <row r="406" spans="1:1" x14ac:dyDescent="0.25">
      <c r="A406" s="8"/>
    </row>
    <row r="407" spans="1:1" x14ac:dyDescent="0.25">
      <c r="A407" s="8"/>
    </row>
    <row r="408" spans="1:1" x14ac:dyDescent="0.25">
      <c r="A408" s="8"/>
    </row>
    <row r="409" spans="1:1" x14ac:dyDescent="0.25">
      <c r="A409" s="8"/>
    </row>
    <row r="410" spans="1:1" x14ac:dyDescent="0.25">
      <c r="A410" s="8"/>
    </row>
    <row r="411" spans="1:1" x14ac:dyDescent="0.25">
      <c r="A411" s="8"/>
    </row>
    <row r="412" spans="1:1" x14ac:dyDescent="0.25">
      <c r="A412" s="8"/>
    </row>
    <row r="413" spans="1:1" x14ac:dyDescent="0.25">
      <c r="A413" s="8"/>
    </row>
    <row r="414" spans="1:1" x14ac:dyDescent="0.25">
      <c r="A414" s="8"/>
    </row>
    <row r="415" spans="1:1" x14ac:dyDescent="0.25">
      <c r="A415" s="8"/>
    </row>
    <row r="416" spans="1:1" x14ac:dyDescent="0.25">
      <c r="A416" s="8"/>
    </row>
    <row r="417" spans="1:1" x14ac:dyDescent="0.25">
      <c r="A417" s="8"/>
    </row>
    <row r="418" spans="1:1" x14ac:dyDescent="0.25">
      <c r="A418" s="8"/>
    </row>
    <row r="419" spans="1:1" x14ac:dyDescent="0.25">
      <c r="A419" s="8"/>
    </row>
    <row r="420" spans="1:1" x14ac:dyDescent="0.25">
      <c r="A420" s="8"/>
    </row>
    <row r="421" spans="1:1" x14ac:dyDescent="0.25">
      <c r="A421" s="8"/>
    </row>
    <row r="422" spans="1:1" x14ac:dyDescent="0.25">
      <c r="A422" s="8"/>
    </row>
    <row r="423" spans="1:1" x14ac:dyDescent="0.25">
      <c r="A423" s="8"/>
    </row>
    <row r="424" spans="1:1" x14ac:dyDescent="0.25">
      <c r="A424" s="8"/>
    </row>
    <row r="425" spans="1:1" x14ac:dyDescent="0.25">
      <c r="A425" s="8"/>
    </row>
    <row r="426" spans="1:1" x14ac:dyDescent="0.25">
      <c r="A426" s="8"/>
    </row>
    <row r="427" spans="1:1" x14ac:dyDescent="0.25">
      <c r="A427" s="8"/>
    </row>
    <row r="428" spans="1:1" x14ac:dyDescent="0.25">
      <c r="A428" s="8"/>
    </row>
    <row r="429" spans="1:1" x14ac:dyDescent="0.25">
      <c r="A429" s="8"/>
    </row>
    <row r="430" spans="1:1" x14ac:dyDescent="0.25">
      <c r="A430" s="8"/>
    </row>
    <row r="431" spans="1:1" x14ac:dyDescent="0.25">
      <c r="A431" s="8"/>
    </row>
    <row r="432" spans="1:1" x14ac:dyDescent="0.25">
      <c r="A432" s="8"/>
    </row>
    <row r="433" spans="1:1" x14ac:dyDescent="0.25">
      <c r="A433" s="8"/>
    </row>
    <row r="434" spans="1:1" x14ac:dyDescent="0.25">
      <c r="A434" s="8"/>
    </row>
    <row r="435" spans="1:1" x14ac:dyDescent="0.25">
      <c r="A435" s="8"/>
    </row>
    <row r="436" spans="1:1" x14ac:dyDescent="0.25">
      <c r="A436" s="8"/>
    </row>
    <row r="437" spans="1:1" x14ac:dyDescent="0.25">
      <c r="A437" s="8"/>
    </row>
    <row r="438" spans="1:1" x14ac:dyDescent="0.25">
      <c r="A438" s="8"/>
    </row>
    <row r="439" spans="1:1" x14ac:dyDescent="0.25">
      <c r="A439" s="8"/>
    </row>
    <row r="440" spans="1:1" x14ac:dyDescent="0.25">
      <c r="A440" s="8"/>
    </row>
    <row r="441" spans="1:1" x14ac:dyDescent="0.25">
      <c r="A441" s="8"/>
    </row>
    <row r="442" spans="1:1" x14ac:dyDescent="0.25">
      <c r="A442" s="8"/>
    </row>
    <row r="443" spans="1:1" x14ac:dyDescent="0.25">
      <c r="A443" s="8"/>
    </row>
    <row r="444" spans="1:1" x14ac:dyDescent="0.25">
      <c r="A444" s="8"/>
    </row>
    <row r="445" spans="1:1" x14ac:dyDescent="0.25">
      <c r="A445" s="8"/>
    </row>
    <row r="446" spans="1:1" x14ac:dyDescent="0.25">
      <c r="A446" s="8"/>
    </row>
    <row r="447" spans="1:1" x14ac:dyDescent="0.25">
      <c r="A447" s="8"/>
    </row>
    <row r="448" spans="1:1" x14ac:dyDescent="0.25">
      <c r="A448" s="8"/>
    </row>
    <row r="449" spans="1:1" x14ac:dyDescent="0.25">
      <c r="A449" s="8"/>
    </row>
    <row r="450" spans="1:1" x14ac:dyDescent="0.25">
      <c r="A450" s="8"/>
    </row>
    <row r="451" spans="1:1" x14ac:dyDescent="0.25">
      <c r="A451" s="8"/>
    </row>
    <row r="452" spans="1:1" x14ac:dyDescent="0.25">
      <c r="A452" s="8"/>
    </row>
    <row r="453" spans="1:1" x14ac:dyDescent="0.25">
      <c r="A453" s="8"/>
    </row>
    <row r="454" spans="1:1" x14ac:dyDescent="0.25">
      <c r="A454" s="8"/>
    </row>
    <row r="455" spans="1:1" x14ac:dyDescent="0.25">
      <c r="A455" s="8"/>
    </row>
    <row r="456" spans="1:1" x14ac:dyDescent="0.25">
      <c r="A456" s="8"/>
    </row>
    <row r="457" spans="1:1" x14ac:dyDescent="0.25">
      <c r="A457" s="8"/>
    </row>
    <row r="458" spans="1:1" x14ac:dyDescent="0.25">
      <c r="A458" s="8"/>
    </row>
    <row r="459" spans="1:1" x14ac:dyDescent="0.25">
      <c r="A459" s="8"/>
    </row>
    <row r="460" spans="1:1" x14ac:dyDescent="0.25">
      <c r="A460" s="8"/>
    </row>
    <row r="461" spans="1:1" x14ac:dyDescent="0.25">
      <c r="A461" s="8"/>
    </row>
    <row r="462" spans="1:1" x14ac:dyDescent="0.25">
      <c r="A462" s="8"/>
    </row>
    <row r="463" spans="1:1" x14ac:dyDescent="0.25">
      <c r="A463" s="8"/>
    </row>
    <row r="464" spans="1:1" x14ac:dyDescent="0.25">
      <c r="A464" s="8"/>
    </row>
    <row r="465" spans="1:1" x14ac:dyDescent="0.25">
      <c r="A465" s="8"/>
    </row>
    <row r="466" spans="1:1" x14ac:dyDescent="0.25">
      <c r="A466" s="8"/>
    </row>
    <row r="467" spans="1:1" x14ac:dyDescent="0.25">
      <c r="A467" s="8"/>
    </row>
    <row r="468" spans="1:1" x14ac:dyDescent="0.25">
      <c r="A468" s="8"/>
    </row>
    <row r="469" spans="1:1" x14ac:dyDescent="0.25">
      <c r="A469" s="8"/>
    </row>
    <row r="470" spans="1:1" x14ac:dyDescent="0.25">
      <c r="A470" s="8"/>
    </row>
    <row r="471" spans="1:1" x14ac:dyDescent="0.25">
      <c r="A471" s="8"/>
    </row>
    <row r="472" spans="1:1" x14ac:dyDescent="0.25">
      <c r="A472" s="8"/>
    </row>
    <row r="473" spans="1:1" x14ac:dyDescent="0.25">
      <c r="A473" s="8"/>
    </row>
    <row r="474" spans="1:1" x14ac:dyDescent="0.25">
      <c r="A474" s="8"/>
    </row>
    <row r="475" spans="1:1" x14ac:dyDescent="0.25">
      <c r="A475" s="8"/>
    </row>
    <row r="476" spans="1:1" x14ac:dyDescent="0.25">
      <c r="A476" s="8"/>
    </row>
    <row r="477" spans="1:1" x14ac:dyDescent="0.25">
      <c r="A477" s="8"/>
    </row>
    <row r="478" spans="1:1" x14ac:dyDescent="0.25">
      <c r="A478" s="8"/>
    </row>
    <row r="479" spans="1:1" x14ac:dyDescent="0.25">
      <c r="A479" s="8"/>
    </row>
    <row r="480" spans="1:1" x14ac:dyDescent="0.25">
      <c r="A480" s="8"/>
    </row>
    <row r="481" spans="1:1" x14ac:dyDescent="0.25">
      <c r="A481" s="8"/>
    </row>
    <row r="482" spans="1:1" x14ac:dyDescent="0.25">
      <c r="A482" s="8"/>
    </row>
    <row r="483" spans="1:1" x14ac:dyDescent="0.25">
      <c r="A483" s="8"/>
    </row>
    <row r="484" spans="1:1" x14ac:dyDescent="0.25">
      <c r="A484" s="8"/>
    </row>
    <row r="485" spans="1:1" x14ac:dyDescent="0.25">
      <c r="A485" s="8"/>
    </row>
    <row r="486" spans="1:1" x14ac:dyDescent="0.25">
      <c r="A486" s="8"/>
    </row>
    <row r="487" spans="1:1" x14ac:dyDescent="0.25">
      <c r="A487" s="8"/>
    </row>
    <row r="488" spans="1:1" x14ac:dyDescent="0.25">
      <c r="A488" s="8"/>
    </row>
    <row r="489" spans="1:1" x14ac:dyDescent="0.25">
      <c r="A489" s="8"/>
    </row>
    <row r="490" spans="1:1" x14ac:dyDescent="0.25">
      <c r="A490" s="8"/>
    </row>
    <row r="491" spans="1:1" x14ac:dyDescent="0.25">
      <c r="A491" s="8"/>
    </row>
    <row r="492" spans="1:1" x14ac:dyDescent="0.25">
      <c r="A492" s="8"/>
    </row>
    <row r="493" spans="1:1" x14ac:dyDescent="0.25">
      <c r="A493" s="8"/>
    </row>
    <row r="494" spans="1:1" x14ac:dyDescent="0.25">
      <c r="A494" s="8"/>
    </row>
    <row r="495" spans="1:1" x14ac:dyDescent="0.25">
      <c r="A495" s="8"/>
    </row>
    <row r="496" spans="1:1" x14ac:dyDescent="0.25">
      <c r="A496" s="8"/>
    </row>
    <row r="497" spans="1:1" x14ac:dyDescent="0.25">
      <c r="A497" s="8"/>
    </row>
    <row r="498" spans="1:1" x14ac:dyDescent="0.25">
      <c r="A498" s="8"/>
    </row>
    <row r="499" spans="1:1" x14ac:dyDescent="0.25">
      <c r="A499" s="8"/>
    </row>
    <row r="500" spans="1:1" x14ac:dyDescent="0.25">
      <c r="A500" s="8"/>
    </row>
    <row r="501" spans="1:1" x14ac:dyDescent="0.25">
      <c r="A501" s="8"/>
    </row>
    <row r="502" spans="1:1" x14ac:dyDescent="0.25">
      <c r="A502" s="8"/>
    </row>
    <row r="503" spans="1:1" x14ac:dyDescent="0.25">
      <c r="A503" s="8"/>
    </row>
    <row r="504" spans="1:1" x14ac:dyDescent="0.25">
      <c r="A504" s="8"/>
    </row>
    <row r="505" spans="1:1" x14ac:dyDescent="0.25">
      <c r="A505" s="8"/>
    </row>
    <row r="506" spans="1:1" x14ac:dyDescent="0.25">
      <c r="A506" s="8"/>
    </row>
    <row r="507" spans="1:1" x14ac:dyDescent="0.25">
      <c r="A507" s="8"/>
    </row>
    <row r="508" spans="1:1" x14ac:dyDescent="0.25">
      <c r="A508" s="8"/>
    </row>
    <row r="509" spans="1:1" x14ac:dyDescent="0.25">
      <c r="A509" s="8"/>
    </row>
    <row r="510" spans="1:1" x14ac:dyDescent="0.25">
      <c r="A510" s="8"/>
    </row>
    <row r="511" spans="1:1" x14ac:dyDescent="0.25">
      <c r="A511" s="8"/>
    </row>
    <row r="512" spans="1:1" x14ac:dyDescent="0.25">
      <c r="A512" s="8"/>
    </row>
    <row r="513" spans="1:1" x14ac:dyDescent="0.25">
      <c r="A513" s="8"/>
    </row>
    <row r="514" spans="1:1" x14ac:dyDescent="0.25">
      <c r="A514" s="8"/>
    </row>
    <row r="515" spans="1:1" x14ac:dyDescent="0.25">
      <c r="A515" s="8"/>
    </row>
    <row r="516" spans="1:1" x14ac:dyDescent="0.25">
      <c r="A516" s="8"/>
    </row>
    <row r="517" spans="1:1" x14ac:dyDescent="0.25">
      <c r="A517" s="8"/>
    </row>
    <row r="518" spans="1:1" x14ac:dyDescent="0.25">
      <c r="A518" s="8"/>
    </row>
    <row r="519" spans="1:1" x14ac:dyDescent="0.25">
      <c r="A519" s="8"/>
    </row>
    <row r="520" spans="1:1" x14ac:dyDescent="0.25">
      <c r="A520" s="8"/>
    </row>
    <row r="521" spans="1:1" x14ac:dyDescent="0.25">
      <c r="A521" s="8"/>
    </row>
    <row r="522" spans="1:1" x14ac:dyDescent="0.25">
      <c r="A522" s="8"/>
    </row>
    <row r="523" spans="1:1" x14ac:dyDescent="0.25">
      <c r="A523" s="8"/>
    </row>
    <row r="524" spans="1:1" x14ac:dyDescent="0.25">
      <c r="A524" s="8"/>
    </row>
    <row r="525" spans="1:1" x14ac:dyDescent="0.25">
      <c r="A525" s="8"/>
    </row>
    <row r="526" spans="1:1" x14ac:dyDescent="0.25">
      <c r="A526" s="8"/>
    </row>
    <row r="527" spans="1:1" x14ac:dyDescent="0.25">
      <c r="A527" s="8"/>
    </row>
    <row r="528" spans="1:1" x14ac:dyDescent="0.25">
      <c r="A528" s="8"/>
    </row>
    <row r="529" spans="1:1" x14ac:dyDescent="0.25">
      <c r="A529" s="8"/>
    </row>
    <row r="530" spans="1:1" x14ac:dyDescent="0.25">
      <c r="A530" s="8"/>
    </row>
    <row r="531" spans="1:1" x14ac:dyDescent="0.25">
      <c r="A531" s="8"/>
    </row>
    <row r="532" spans="1:1" x14ac:dyDescent="0.25">
      <c r="A532" s="8"/>
    </row>
    <row r="533" spans="1:1" x14ac:dyDescent="0.25">
      <c r="A533" s="8"/>
    </row>
    <row r="534" spans="1:1" x14ac:dyDescent="0.25">
      <c r="A534" s="8"/>
    </row>
    <row r="535" spans="1:1" x14ac:dyDescent="0.25">
      <c r="A535" s="8"/>
    </row>
    <row r="536" spans="1:1" x14ac:dyDescent="0.25">
      <c r="A536" s="8"/>
    </row>
    <row r="537" spans="1:1" x14ac:dyDescent="0.25">
      <c r="A537" s="8"/>
    </row>
    <row r="538" spans="1:1" x14ac:dyDescent="0.25">
      <c r="A538" s="8"/>
    </row>
    <row r="539" spans="1:1" x14ac:dyDescent="0.25">
      <c r="A539" s="8"/>
    </row>
    <row r="540" spans="1:1" x14ac:dyDescent="0.25">
      <c r="A540" s="8"/>
    </row>
    <row r="541" spans="1:1" x14ac:dyDescent="0.25">
      <c r="A541" s="8"/>
    </row>
    <row r="542" spans="1:1" x14ac:dyDescent="0.25">
      <c r="A542" s="8"/>
    </row>
    <row r="543" spans="1:1" x14ac:dyDescent="0.25">
      <c r="A543" s="8"/>
    </row>
    <row r="544" spans="1:1" x14ac:dyDescent="0.25">
      <c r="A544" s="8"/>
    </row>
    <row r="545" spans="1:1" x14ac:dyDescent="0.25">
      <c r="A545" s="8"/>
    </row>
    <row r="546" spans="1:1" x14ac:dyDescent="0.25">
      <c r="A546" s="8"/>
    </row>
    <row r="547" spans="1:1" x14ac:dyDescent="0.25">
      <c r="A547" s="8"/>
    </row>
    <row r="548" spans="1:1" x14ac:dyDescent="0.25">
      <c r="A548" s="8"/>
    </row>
    <row r="549" spans="1:1" x14ac:dyDescent="0.25">
      <c r="A549" s="8"/>
    </row>
    <row r="550" spans="1:1" x14ac:dyDescent="0.25">
      <c r="A550" s="8"/>
    </row>
    <row r="551" spans="1:1" x14ac:dyDescent="0.25">
      <c r="A551" s="8"/>
    </row>
    <row r="552" spans="1:1" x14ac:dyDescent="0.25">
      <c r="A552" s="8"/>
    </row>
    <row r="553" spans="1:1" x14ac:dyDescent="0.25">
      <c r="A553" s="8"/>
    </row>
    <row r="554" spans="1:1" x14ac:dyDescent="0.25">
      <c r="A554" s="8"/>
    </row>
    <row r="555" spans="1:1" x14ac:dyDescent="0.25">
      <c r="A555" s="8"/>
    </row>
    <row r="556" spans="1:1" x14ac:dyDescent="0.25">
      <c r="A556" s="8"/>
    </row>
    <row r="557" spans="1:1" x14ac:dyDescent="0.25">
      <c r="A557" s="8"/>
    </row>
    <row r="558" spans="1:1" x14ac:dyDescent="0.25">
      <c r="A558" s="8"/>
    </row>
    <row r="559" spans="1:1" x14ac:dyDescent="0.25">
      <c r="A559" s="8"/>
    </row>
    <row r="560" spans="1:1" x14ac:dyDescent="0.25">
      <c r="A560" s="8"/>
    </row>
    <row r="561" spans="1:1" x14ac:dyDescent="0.25">
      <c r="A561" s="8"/>
    </row>
    <row r="562" spans="1:1" x14ac:dyDescent="0.25">
      <c r="A562" s="8"/>
    </row>
    <row r="563" spans="1:1" x14ac:dyDescent="0.25">
      <c r="A563" s="8"/>
    </row>
    <row r="564" spans="1:1" x14ac:dyDescent="0.25">
      <c r="A564" s="8"/>
    </row>
    <row r="565" spans="1:1" x14ac:dyDescent="0.25">
      <c r="A565" s="8"/>
    </row>
    <row r="566" spans="1:1" x14ac:dyDescent="0.25">
      <c r="A566" s="8"/>
    </row>
    <row r="567" spans="1:1" x14ac:dyDescent="0.25">
      <c r="A567" s="8"/>
    </row>
    <row r="568" spans="1:1" x14ac:dyDescent="0.25">
      <c r="A568" s="8"/>
    </row>
    <row r="569" spans="1:1" x14ac:dyDescent="0.25">
      <c r="A569" s="8"/>
    </row>
    <row r="570" spans="1:1" x14ac:dyDescent="0.25">
      <c r="A570" s="8"/>
    </row>
    <row r="571" spans="1:1" x14ac:dyDescent="0.25">
      <c r="A571" s="8"/>
    </row>
    <row r="572" spans="1:1" x14ac:dyDescent="0.25">
      <c r="A572" s="8"/>
    </row>
    <row r="573" spans="1:1" x14ac:dyDescent="0.25">
      <c r="A573" s="8"/>
    </row>
    <row r="574" spans="1:1" x14ac:dyDescent="0.25">
      <c r="A574" s="8"/>
    </row>
    <row r="575" spans="1:1" x14ac:dyDescent="0.25">
      <c r="A575" s="8"/>
    </row>
    <row r="576" spans="1:1" x14ac:dyDescent="0.25">
      <c r="A576" s="8"/>
    </row>
    <row r="577" spans="1:1" x14ac:dyDescent="0.25">
      <c r="A577" s="8"/>
    </row>
    <row r="578" spans="1:1" x14ac:dyDescent="0.25">
      <c r="A578" s="8"/>
    </row>
    <row r="579" spans="1:1" x14ac:dyDescent="0.25">
      <c r="A579" s="8"/>
    </row>
    <row r="580" spans="1:1" x14ac:dyDescent="0.25">
      <c r="A580" s="8"/>
    </row>
    <row r="581" spans="1:1" x14ac:dyDescent="0.25">
      <c r="A581" s="8"/>
    </row>
    <row r="582" spans="1:1" x14ac:dyDescent="0.25">
      <c r="A582" s="8"/>
    </row>
    <row r="583" spans="1:1" x14ac:dyDescent="0.25">
      <c r="A583" s="8"/>
    </row>
    <row r="584" spans="1:1" x14ac:dyDescent="0.25">
      <c r="A584" s="8"/>
    </row>
    <row r="585" spans="1:1" x14ac:dyDescent="0.25">
      <c r="A585" s="8"/>
    </row>
    <row r="586" spans="1:1" x14ac:dyDescent="0.25">
      <c r="A586" s="8"/>
    </row>
    <row r="587" spans="1:1" x14ac:dyDescent="0.25">
      <c r="A587" s="8"/>
    </row>
    <row r="588" spans="1:1" x14ac:dyDescent="0.25">
      <c r="A588" s="8"/>
    </row>
    <row r="589" spans="1:1" x14ac:dyDescent="0.25">
      <c r="A589" s="8"/>
    </row>
    <row r="590" spans="1:1" x14ac:dyDescent="0.25">
      <c r="A590" s="8"/>
    </row>
    <row r="591" spans="1:1" x14ac:dyDescent="0.25">
      <c r="A591" s="8"/>
    </row>
    <row r="592" spans="1:1" x14ac:dyDescent="0.25">
      <c r="A592" s="8"/>
    </row>
    <row r="593" spans="1:1" x14ac:dyDescent="0.25">
      <c r="A593" s="8"/>
    </row>
    <row r="594" spans="1:1" x14ac:dyDescent="0.25">
      <c r="A594" s="8"/>
    </row>
    <row r="595" spans="1:1" x14ac:dyDescent="0.25">
      <c r="A595" s="8"/>
    </row>
    <row r="596" spans="1:1" x14ac:dyDescent="0.25">
      <c r="A596" s="8"/>
    </row>
    <row r="597" spans="1:1" x14ac:dyDescent="0.25">
      <c r="A597" s="8"/>
    </row>
    <row r="598" spans="1:1" x14ac:dyDescent="0.25">
      <c r="A598" s="8"/>
    </row>
    <row r="599" spans="1:1" x14ac:dyDescent="0.25">
      <c r="A599" s="8"/>
    </row>
    <row r="600" spans="1:1" x14ac:dyDescent="0.25">
      <c r="A600" s="8"/>
    </row>
    <row r="601" spans="1:1" x14ac:dyDescent="0.25">
      <c r="A601" s="8"/>
    </row>
    <row r="602" spans="1:1" x14ac:dyDescent="0.25">
      <c r="A602" s="8"/>
    </row>
    <row r="603" spans="1:1" x14ac:dyDescent="0.25">
      <c r="A603" s="8"/>
    </row>
    <row r="604" spans="1:1" x14ac:dyDescent="0.25">
      <c r="A604" s="8"/>
    </row>
    <row r="605" spans="1:1" x14ac:dyDescent="0.25">
      <c r="A605" s="8"/>
    </row>
    <row r="606" spans="1:1" x14ac:dyDescent="0.25">
      <c r="A606" s="8"/>
    </row>
    <row r="607" spans="1:1" x14ac:dyDescent="0.25">
      <c r="A607" s="8"/>
    </row>
    <row r="608" spans="1:1" x14ac:dyDescent="0.25">
      <c r="A608" s="8"/>
    </row>
    <row r="609" spans="1:1" x14ac:dyDescent="0.25">
      <c r="A609" s="8"/>
    </row>
    <row r="610" spans="1:1" x14ac:dyDescent="0.25">
      <c r="A610" s="8"/>
    </row>
    <row r="611" spans="1:1" x14ac:dyDescent="0.25">
      <c r="A611" s="8"/>
    </row>
    <row r="612" spans="1:1" x14ac:dyDescent="0.25">
      <c r="A612" s="8"/>
    </row>
    <row r="613" spans="1:1" x14ac:dyDescent="0.25">
      <c r="A613" s="8"/>
    </row>
    <row r="614" spans="1:1" x14ac:dyDescent="0.25">
      <c r="A614" s="8"/>
    </row>
    <row r="615" spans="1:1" x14ac:dyDescent="0.25">
      <c r="A615" s="8"/>
    </row>
    <row r="616" spans="1:1" x14ac:dyDescent="0.25">
      <c r="A616" s="8"/>
    </row>
    <row r="617" spans="1:1" x14ac:dyDescent="0.25">
      <c r="A617" s="8"/>
    </row>
    <row r="618" spans="1:1" x14ac:dyDescent="0.25">
      <c r="A618" s="8"/>
    </row>
    <row r="619" spans="1:1" x14ac:dyDescent="0.25">
      <c r="A619" s="8"/>
    </row>
    <row r="620" spans="1:1" x14ac:dyDescent="0.25">
      <c r="A620" s="8"/>
    </row>
    <row r="621" spans="1:1" x14ac:dyDescent="0.25">
      <c r="A621" s="8"/>
    </row>
    <row r="622" spans="1:1" x14ac:dyDescent="0.25">
      <c r="A622" s="8"/>
    </row>
    <row r="623" spans="1:1" x14ac:dyDescent="0.25">
      <c r="A623" s="8"/>
    </row>
    <row r="624" spans="1:1" x14ac:dyDescent="0.25">
      <c r="A624" s="8"/>
    </row>
    <row r="625" spans="1:1" x14ac:dyDescent="0.25">
      <c r="A625" s="8"/>
    </row>
    <row r="626" spans="1:1" x14ac:dyDescent="0.25">
      <c r="A626" s="8"/>
    </row>
    <row r="627" spans="1:1" x14ac:dyDescent="0.25">
      <c r="A627" s="8"/>
    </row>
    <row r="628" spans="1:1" x14ac:dyDescent="0.25">
      <c r="A628" s="8"/>
    </row>
    <row r="629" spans="1:1" x14ac:dyDescent="0.25">
      <c r="A629" s="8"/>
    </row>
    <row r="630" spans="1:1" x14ac:dyDescent="0.25">
      <c r="A630" s="8"/>
    </row>
    <row r="631" spans="1:1" x14ac:dyDescent="0.25">
      <c r="A631" s="8"/>
    </row>
    <row r="632" spans="1:1" x14ac:dyDescent="0.25">
      <c r="A632" s="8"/>
    </row>
    <row r="633" spans="1:1" x14ac:dyDescent="0.25">
      <c r="A633" s="8"/>
    </row>
    <row r="634" spans="1:1" x14ac:dyDescent="0.25">
      <c r="A634" s="8"/>
    </row>
    <row r="635" spans="1:1" x14ac:dyDescent="0.25">
      <c r="A635" s="8"/>
    </row>
    <row r="636" spans="1:1" x14ac:dyDescent="0.25">
      <c r="A636" s="8"/>
    </row>
    <row r="637" spans="1:1" x14ac:dyDescent="0.25">
      <c r="A637" s="8"/>
    </row>
    <row r="638" spans="1:1" x14ac:dyDescent="0.25">
      <c r="A638" s="8"/>
    </row>
    <row r="639" spans="1:1" x14ac:dyDescent="0.25">
      <c r="A639" s="8"/>
    </row>
    <row r="640" spans="1:1" x14ac:dyDescent="0.25">
      <c r="A640" s="8"/>
    </row>
    <row r="641" spans="1:1" x14ac:dyDescent="0.25">
      <c r="A641" s="8"/>
    </row>
    <row r="642" spans="1:1" x14ac:dyDescent="0.25">
      <c r="A642" s="8"/>
    </row>
    <row r="643" spans="1:1" x14ac:dyDescent="0.25">
      <c r="A643" s="8"/>
    </row>
    <row r="644" spans="1:1" x14ac:dyDescent="0.25">
      <c r="A644" s="8"/>
    </row>
    <row r="645" spans="1:1" x14ac:dyDescent="0.25">
      <c r="A645" s="8"/>
    </row>
    <row r="646" spans="1:1" x14ac:dyDescent="0.25">
      <c r="A646" s="8"/>
    </row>
    <row r="647" spans="1:1" x14ac:dyDescent="0.25">
      <c r="A647" s="8"/>
    </row>
    <row r="648" spans="1:1" x14ac:dyDescent="0.25">
      <c r="A648" s="8"/>
    </row>
    <row r="649" spans="1:1" x14ac:dyDescent="0.25">
      <c r="A649" s="8"/>
    </row>
    <row r="650" spans="1:1" x14ac:dyDescent="0.25">
      <c r="A650" s="8"/>
    </row>
    <row r="651" spans="1:1" x14ac:dyDescent="0.25">
      <c r="A651" s="8"/>
    </row>
    <row r="652" spans="1:1" x14ac:dyDescent="0.25">
      <c r="A652" s="8"/>
    </row>
    <row r="653" spans="1:1" x14ac:dyDescent="0.25">
      <c r="A653" s="8"/>
    </row>
    <row r="654" spans="1:1" x14ac:dyDescent="0.25">
      <c r="A654" s="8"/>
    </row>
    <row r="655" spans="1:1" x14ac:dyDescent="0.25">
      <c r="A655" s="8"/>
    </row>
    <row r="656" spans="1:1" x14ac:dyDescent="0.25">
      <c r="A656" s="8"/>
    </row>
    <row r="657" spans="1:1" x14ac:dyDescent="0.25">
      <c r="A657" s="8"/>
    </row>
    <row r="658" spans="1:1" x14ac:dyDescent="0.25">
      <c r="A658" s="8"/>
    </row>
    <row r="659" spans="1:1" x14ac:dyDescent="0.25">
      <c r="A659" s="8"/>
    </row>
    <row r="660" spans="1:1" x14ac:dyDescent="0.25">
      <c r="A660" s="8"/>
    </row>
    <row r="661" spans="1:1" x14ac:dyDescent="0.25">
      <c r="A661" s="8"/>
    </row>
    <row r="662" spans="1:1" x14ac:dyDescent="0.25">
      <c r="A662" s="8"/>
    </row>
    <row r="663" spans="1:1" x14ac:dyDescent="0.25">
      <c r="A663" s="8"/>
    </row>
    <row r="664" spans="1:1" x14ac:dyDescent="0.25">
      <c r="A664" s="8"/>
    </row>
    <row r="665" spans="1:1" x14ac:dyDescent="0.25">
      <c r="A665" s="8"/>
    </row>
    <row r="666" spans="1:1" x14ac:dyDescent="0.25">
      <c r="A666" s="8"/>
    </row>
    <row r="667" spans="1:1" x14ac:dyDescent="0.25">
      <c r="A667" s="8"/>
    </row>
    <row r="668" spans="1:1" x14ac:dyDescent="0.25">
      <c r="A668" s="8"/>
    </row>
    <row r="669" spans="1:1" x14ac:dyDescent="0.25">
      <c r="A669" s="8"/>
    </row>
    <row r="670" spans="1:1" x14ac:dyDescent="0.25">
      <c r="A670" s="8"/>
    </row>
    <row r="671" spans="1:1" x14ac:dyDescent="0.25">
      <c r="A671" s="8"/>
    </row>
    <row r="672" spans="1:1" x14ac:dyDescent="0.25">
      <c r="A672" s="8"/>
    </row>
    <row r="673" spans="1:1" x14ac:dyDescent="0.25">
      <c r="A673" s="8"/>
    </row>
    <row r="674" spans="1:1" x14ac:dyDescent="0.25">
      <c r="A674" s="8"/>
    </row>
    <row r="675" spans="1:1" x14ac:dyDescent="0.25">
      <c r="A675" s="8"/>
    </row>
    <row r="676" spans="1:1" x14ac:dyDescent="0.25">
      <c r="A676" s="8"/>
    </row>
    <row r="677" spans="1:1" x14ac:dyDescent="0.25">
      <c r="A677" s="8"/>
    </row>
    <row r="678" spans="1:1" x14ac:dyDescent="0.25">
      <c r="A678" s="8"/>
    </row>
    <row r="679" spans="1:1" x14ac:dyDescent="0.25">
      <c r="A679" s="8"/>
    </row>
    <row r="680" spans="1:1" x14ac:dyDescent="0.25">
      <c r="A680" s="8"/>
    </row>
    <row r="681" spans="1:1" x14ac:dyDescent="0.25">
      <c r="A681" s="8"/>
    </row>
    <row r="682" spans="1:1" x14ac:dyDescent="0.25">
      <c r="A682" s="8"/>
    </row>
    <row r="683" spans="1:1" x14ac:dyDescent="0.25">
      <c r="A683" s="8"/>
    </row>
    <row r="684" spans="1:1" x14ac:dyDescent="0.25">
      <c r="A684" s="8"/>
    </row>
    <row r="685" spans="1:1" x14ac:dyDescent="0.25">
      <c r="A685" s="8"/>
    </row>
    <row r="686" spans="1:1" x14ac:dyDescent="0.25">
      <c r="A686" s="8"/>
    </row>
    <row r="687" spans="1:1" x14ac:dyDescent="0.25">
      <c r="A687" s="8"/>
    </row>
    <row r="688" spans="1:1" x14ac:dyDescent="0.25">
      <c r="A688" s="8"/>
    </row>
    <row r="689" spans="1:1" x14ac:dyDescent="0.25">
      <c r="A689" s="8"/>
    </row>
    <row r="690" spans="1:1" x14ac:dyDescent="0.25">
      <c r="A690" s="8"/>
    </row>
    <row r="691" spans="1:1" x14ac:dyDescent="0.25">
      <c r="A691" s="8"/>
    </row>
    <row r="692" spans="1:1" x14ac:dyDescent="0.25">
      <c r="A692" s="8"/>
    </row>
    <row r="693" spans="1:1" x14ac:dyDescent="0.25">
      <c r="A693" s="8"/>
    </row>
    <row r="694" spans="1:1" x14ac:dyDescent="0.25">
      <c r="A694" s="8"/>
    </row>
    <row r="695" spans="1:1" x14ac:dyDescent="0.25">
      <c r="A695" s="8"/>
    </row>
    <row r="696" spans="1:1" x14ac:dyDescent="0.25">
      <c r="A696" s="8"/>
    </row>
    <row r="697" spans="1:1" x14ac:dyDescent="0.25">
      <c r="A697" s="8"/>
    </row>
    <row r="698" spans="1:1" x14ac:dyDescent="0.25">
      <c r="A698" s="8"/>
    </row>
    <row r="699" spans="1:1" x14ac:dyDescent="0.25">
      <c r="A699" s="8"/>
    </row>
    <row r="700" spans="1:1" x14ac:dyDescent="0.25">
      <c r="A700" s="8"/>
    </row>
    <row r="701" spans="1:1" x14ac:dyDescent="0.25">
      <c r="A701" s="8"/>
    </row>
    <row r="702" spans="1:1" x14ac:dyDescent="0.25">
      <c r="A702" s="8"/>
    </row>
    <row r="703" spans="1:1" x14ac:dyDescent="0.25">
      <c r="A703" s="8"/>
    </row>
    <row r="704" spans="1:1" x14ac:dyDescent="0.25">
      <c r="A704" s="8"/>
    </row>
    <row r="705" spans="1:1" x14ac:dyDescent="0.25">
      <c r="A705" s="8"/>
    </row>
    <row r="706" spans="1:1" x14ac:dyDescent="0.25">
      <c r="A706" s="8"/>
    </row>
    <row r="707" spans="1:1" x14ac:dyDescent="0.25">
      <c r="A707" s="8"/>
    </row>
    <row r="708" spans="1:1" x14ac:dyDescent="0.25">
      <c r="A708" s="8"/>
    </row>
    <row r="709" spans="1:1" x14ac:dyDescent="0.25">
      <c r="A709" s="8"/>
    </row>
    <row r="710" spans="1:1" x14ac:dyDescent="0.25">
      <c r="A710" s="8"/>
    </row>
    <row r="711" spans="1:1" x14ac:dyDescent="0.25">
      <c r="A711" s="8"/>
    </row>
    <row r="712" spans="1:1" x14ac:dyDescent="0.25">
      <c r="A712" s="8"/>
    </row>
    <row r="713" spans="1:1" x14ac:dyDescent="0.25">
      <c r="A713" s="8"/>
    </row>
    <row r="714" spans="1:1" x14ac:dyDescent="0.25">
      <c r="A714" s="8"/>
    </row>
    <row r="715" spans="1:1" x14ac:dyDescent="0.25">
      <c r="A715" s="8"/>
    </row>
    <row r="716" spans="1:1" x14ac:dyDescent="0.25">
      <c r="A716" s="8"/>
    </row>
    <row r="717" spans="1:1" x14ac:dyDescent="0.25">
      <c r="A717" s="8"/>
    </row>
    <row r="718" spans="1:1" x14ac:dyDescent="0.25">
      <c r="A718" s="8"/>
    </row>
    <row r="719" spans="1:1" x14ac:dyDescent="0.25">
      <c r="A719" s="8"/>
    </row>
    <row r="720" spans="1:1" x14ac:dyDescent="0.25">
      <c r="A720" s="8"/>
    </row>
    <row r="721" spans="1:1" x14ac:dyDescent="0.25">
      <c r="A721" s="8"/>
    </row>
    <row r="722" spans="1:1" x14ac:dyDescent="0.25">
      <c r="A722" s="8"/>
    </row>
    <row r="723" spans="1:1" x14ac:dyDescent="0.25">
      <c r="A723" s="8"/>
    </row>
    <row r="724" spans="1:1" x14ac:dyDescent="0.25">
      <c r="A724" s="8"/>
    </row>
    <row r="725" spans="1:1" x14ac:dyDescent="0.25">
      <c r="A725" s="8"/>
    </row>
    <row r="726" spans="1:1" x14ac:dyDescent="0.25">
      <c r="A726" s="8"/>
    </row>
    <row r="727" spans="1:1" x14ac:dyDescent="0.25">
      <c r="A727" s="8"/>
    </row>
    <row r="728" spans="1:1" x14ac:dyDescent="0.25">
      <c r="A728" s="8"/>
    </row>
    <row r="729" spans="1:1" x14ac:dyDescent="0.25">
      <c r="A729" s="8"/>
    </row>
    <row r="730" spans="1:1" x14ac:dyDescent="0.25">
      <c r="A730" s="8"/>
    </row>
    <row r="731" spans="1:1" x14ac:dyDescent="0.25">
      <c r="A731" s="8"/>
    </row>
    <row r="732" spans="1:1" x14ac:dyDescent="0.25">
      <c r="A732" s="8"/>
    </row>
    <row r="733" spans="1:1" x14ac:dyDescent="0.25">
      <c r="A733" s="8"/>
    </row>
    <row r="734" spans="1:1" x14ac:dyDescent="0.25">
      <c r="A734" s="8"/>
    </row>
    <row r="735" spans="1:1" x14ac:dyDescent="0.25">
      <c r="A735" s="8"/>
    </row>
    <row r="736" spans="1:1" x14ac:dyDescent="0.25">
      <c r="A736" s="8"/>
    </row>
    <row r="737" spans="1:1" x14ac:dyDescent="0.25">
      <c r="A737" s="8"/>
    </row>
    <row r="738" spans="1:1" x14ac:dyDescent="0.25">
      <c r="A738" s="8"/>
    </row>
    <row r="739" spans="1:1" x14ac:dyDescent="0.25">
      <c r="A739" s="8"/>
    </row>
    <row r="740" spans="1:1" x14ac:dyDescent="0.25">
      <c r="A740" s="8"/>
    </row>
    <row r="741" spans="1:1" x14ac:dyDescent="0.25">
      <c r="A741" s="8"/>
    </row>
    <row r="742" spans="1:1" x14ac:dyDescent="0.25">
      <c r="A742" s="8"/>
    </row>
    <row r="743" spans="1:1" x14ac:dyDescent="0.25">
      <c r="A743" s="8"/>
    </row>
    <row r="744" spans="1:1" x14ac:dyDescent="0.25">
      <c r="A744" s="8"/>
    </row>
    <row r="745" spans="1:1" x14ac:dyDescent="0.25">
      <c r="A745" s="8"/>
    </row>
    <row r="746" spans="1:1" x14ac:dyDescent="0.25">
      <c r="A746" s="8"/>
    </row>
    <row r="747" spans="1:1" x14ac:dyDescent="0.25">
      <c r="A747" s="8"/>
    </row>
    <row r="748" spans="1:1" x14ac:dyDescent="0.25">
      <c r="A748" s="8"/>
    </row>
    <row r="749" spans="1:1" x14ac:dyDescent="0.25">
      <c r="A749" s="8"/>
    </row>
    <row r="750" spans="1:1" x14ac:dyDescent="0.25">
      <c r="A750" s="8"/>
    </row>
    <row r="751" spans="1:1" x14ac:dyDescent="0.25">
      <c r="A751" s="8"/>
    </row>
    <row r="752" spans="1:1" x14ac:dyDescent="0.25">
      <c r="A752" s="8"/>
    </row>
    <row r="753" spans="1:1" x14ac:dyDescent="0.25">
      <c r="A753" s="8"/>
    </row>
    <row r="754" spans="1:1" x14ac:dyDescent="0.25">
      <c r="A754" s="8"/>
    </row>
    <row r="755" spans="1:1" x14ac:dyDescent="0.25">
      <c r="A755" s="8"/>
    </row>
    <row r="756" spans="1:1" x14ac:dyDescent="0.25">
      <c r="A756" s="8"/>
    </row>
    <row r="757" spans="1:1" x14ac:dyDescent="0.25">
      <c r="A757" s="8"/>
    </row>
    <row r="758" spans="1:1" x14ac:dyDescent="0.25">
      <c r="A758" s="8"/>
    </row>
    <row r="759" spans="1:1" x14ac:dyDescent="0.25">
      <c r="A759" s="8"/>
    </row>
    <row r="760" spans="1:1" x14ac:dyDescent="0.25">
      <c r="A760" s="8"/>
    </row>
    <row r="761" spans="1:1" x14ac:dyDescent="0.25">
      <c r="A761" s="8"/>
    </row>
    <row r="762" spans="1:1" x14ac:dyDescent="0.25">
      <c r="A762" s="8"/>
    </row>
    <row r="763" spans="1:1" x14ac:dyDescent="0.25">
      <c r="A763" s="8"/>
    </row>
    <row r="764" spans="1:1" x14ac:dyDescent="0.25">
      <c r="A764" s="8"/>
    </row>
    <row r="765" spans="1:1" x14ac:dyDescent="0.25">
      <c r="A765" s="8"/>
    </row>
    <row r="766" spans="1:1" x14ac:dyDescent="0.25">
      <c r="A766" s="8"/>
    </row>
    <row r="767" spans="1:1" x14ac:dyDescent="0.25">
      <c r="A767" s="8"/>
    </row>
    <row r="768" spans="1:1" x14ac:dyDescent="0.25">
      <c r="A768" s="8"/>
    </row>
    <row r="769" spans="1:1" x14ac:dyDescent="0.25">
      <c r="A769" s="8"/>
    </row>
    <row r="770" spans="1:1" x14ac:dyDescent="0.25">
      <c r="A770" s="8"/>
    </row>
    <row r="771" spans="1:1" x14ac:dyDescent="0.25">
      <c r="A771" s="8"/>
    </row>
    <row r="772" spans="1:1" x14ac:dyDescent="0.25">
      <c r="A772" s="8"/>
    </row>
    <row r="773" spans="1:1" x14ac:dyDescent="0.25">
      <c r="A773" s="8"/>
    </row>
    <row r="774" spans="1:1" x14ac:dyDescent="0.25">
      <c r="A774" s="8"/>
    </row>
    <row r="775" spans="1:1" x14ac:dyDescent="0.25">
      <c r="A775" s="8"/>
    </row>
    <row r="776" spans="1:1" x14ac:dyDescent="0.25">
      <c r="A776" s="8"/>
    </row>
    <row r="777" spans="1:1" x14ac:dyDescent="0.25">
      <c r="A777" s="8"/>
    </row>
    <row r="778" spans="1:1" x14ac:dyDescent="0.25">
      <c r="A778" s="8"/>
    </row>
    <row r="779" spans="1:1" x14ac:dyDescent="0.25">
      <c r="A779" s="8"/>
    </row>
    <row r="780" spans="1:1" x14ac:dyDescent="0.25">
      <c r="A780" s="8"/>
    </row>
    <row r="781" spans="1:1" x14ac:dyDescent="0.25">
      <c r="A781" s="8"/>
    </row>
    <row r="782" spans="1:1" x14ac:dyDescent="0.25">
      <c r="A782" s="8"/>
    </row>
    <row r="783" spans="1:1" x14ac:dyDescent="0.25">
      <c r="A783" s="8"/>
    </row>
    <row r="784" spans="1:1" x14ac:dyDescent="0.25">
      <c r="A784" s="8"/>
    </row>
    <row r="785" spans="1:1" x14ac:dyDescent="0.25">
      <c r="A785" s="8"/>
    </row>
    <row r="786" spans="1:1" x14ac:dyDescent="0.25">
      <c r="A786" s="8"/>
    </row>
    <row r="787" spans="1:1" x14ac:dyDescent="0.25">
      <c r="A787" s="8"/>
    </row>
    <row r="788" spans="1:1" x14ac:dyDescent="0.25">
      <c r="A788" s="8"/>
    </row>
    <row r="789" spans="1:1" x14ac:dyDescent="0.25">
      <c r="A789" s="8"/>
    </row>
    <row r="790" spans="1:1" x14ac:dyDescent="0.25">
      <c r="A790" s="8"/>
    </row>
    <row r="791" spans="1:1" x14ac:dyDescent="0.25">
      <c r="A791" s="8"/>
    </row>
    <row r="792" spans="1:1" x14ac:dyDescent="0.25">
      <c r="A792" s="8"/>
    </row>
    <row r="793" spans="1:1" x14ac:dyDescent="0.25">
      <c r="A793" s="8"/>
    </row>
    <row r="794" spans="1:1" x14ac:dyDescent="0.25">
      <c r="A794" s="8"/>
    </row>
    <row r="795" spans="1:1" x14ac:dyDescent="0.25">
      <c r="A795" s="8"/>
    </row>
    <row r="796" spans="1:1" x14ac:dyDescent="0.25">
      <c r="A796" s="8"/>
    </row>
    <row r="797" spans="1:1" x14ac:dyDescent="0.25">
      <c r="A797" s="8"/>
    </row>
    <row r="798" spans="1:1" x14ac:dyDescent="0.25">
      <c r="A798" s="8"/>
    </row>
    <row r="799" spans="1:1" x14ac:dyDescent="0.25">
      <c r="A799" s="8"/>
    </row>
    <row r="800" spans="1:1" x14ac:dyDescent="0.25">
      <c r="A800" s="8"/>
    </row>
    <row r="801" spans="1:1" x14ac:dyDescent="0.25">
      <c r="A801" s="8"/>
    </row>
    <row r="802" spans="1:1" x14ac:dyDescent="0.25">
      <c r="A802" s="8"/>
    </row>
    <row r="803" spans="1:1" x14ac:dyDescent="0.25">
      <c r="A803" s="8"/>
    </row>
    <row r="804" spans="1:1" x14ac:dyDescent="0.25">
      <c r="A804" s="8"/>
    </row>
    <row r="805" spans="1:1" x14ac:dyDescent="0.25">
      <c r="A805" s="8"/>
    </row>
    <row r="806" spans="1:1" x14ac:dyDescent="0.25">
      <c r="A806" s="8"/>
    </row>
    <row r="807" spans="1:1" x14ac:dyDescent="0.25">
      <c r="A807" s="8"/>
    </row>
    <row r="808" spans="1:1" x14ac:dyDescent="0.25">
      <c r="A808" s="8"/>
    </row>
    <row r="809" spans="1:1" x14ac:dyDescent="0.25">
      <c r="A809" s="8"/>
    </row>
    <row r="810" spans="1:1" x14ac:dyDescent="0.25">
      <c r="A810" s="8"/>
    </row>
    <row r="811" spans="1:1" x14ac:dyDescent="0.25">
      <c r="A811" s="8"/>
    </row>
    <row r="812" spans="1:1" x14ac:dyDescent="0.25">
      <c r="A812" s="8"/>
    </row>
    <row r="813" spans="1:1" x14ac:dyDescent="0.25">
      <c r="A813" s="8"/>
    </row>
    <row r="814" spans="1:1" x14ac:dyDescent="0.25">
      <c r="A814" s="8"/>
    </row>
    <row r="815" spans="1:1" x14ac:dyDescent="0.25">
      <c r="A815" s="8"/>
    </row>
    <row r="816" spans="1:1" x14ac:dyDescent="0.25">
      <c r="A816" s="8"/>
    </row>
    <row r="817" spans="1:1" x14ac:dyDescent="0.25">
      <c r="A817" s="8"/>
    </row>
    <row r="818" spans="1:1" x14ac:dyDescent="0.25">
      <c r="A818" s="8"/>
    </row>
    <row r="819" spans="1:1" x14ac:dyDescent="0.25">
      <c r="A819" s="8"/>
    </row>
    <row r="820" spans="1:1" x14ac:dyDescent="0.25">
      <c r="A820" s="8"/>
    </row>
    <row r="821" spans="1:1" x14ac:dyDescent="0.25">
      <c r="A821" s="8"/>
    </row>
    <row r="822" spans="1:1" x14ac:dyDescent="0.25">
      <c r="A822" s="8"/>
    </row>
    <row r="823" spans="1:1" x14ac:dyDescent="0.25">
      <c r="A823" s="8"/>
    </row>
    <row r="824" spans="1:1" x14ac:dyDescent="0.25">
      <c r="A824" s="8"/>
    </row>
    <row r="825" spans="1:1" x14ac:dyDescent="0.25">
      <c r="A825" s="8"/>
    </row>
    <row r="826" spans="1:1" x14ac:dyDescent="0.25">
      <c r="A826" s="8"/>
    </row>
    <row r="827" spans="1:1" x14ac:dyDescent="0.25">
      <c r="A827" s="8"/>
    </row>
    <row r="828" spans="1:1" x14ac:dyDescent="0.25">
      <c r="A828" s="8"/>
    </row>
    <row r="829" spans="1:1" x14ac:dyDescent="0.25">
      <c r="A829" s="8"/>
    </row>
    <row r="830" spans="1:1" x14ac:dyDescent="0.25">
      <c r="A830" s="8"/>
    </row>
    <row r="831" spans="1:1" x14ac:dyDescent="0.25">
      <c r="A831" s="8"/>
    </row>
    <row r="832" spans="1:1" x14ac:dyDescent="0.25">
      <c r="A832" s="8"/>
    </row>
    <row r="833" spans="1:1" x14ac:dyDescent="0.25">
      <c r="A833" s="8"/>
    </row>
    <row r="834" spans="1:1" x14ac:dyDescent="0.25">
      <c r="A834" s="8"/>
    </row>
    <row r="835" spans="1:1" x14ac:dyDescent="0.25">
      <c r="A835" s="8"/>
    </row>
    <row r="836" spans="1:1" x14ac:dyDescent="0.25">
      <c r="A836" s="8"/>
    </row>
    <row r="837" spans="1:1" x14ac:dyDescent="0.25">
      <c r="A837" s="8"/>
    </row>
    <row r="838" spans="1:1" x14ac:dyDescent="0.25">
      <c r="A838" s="8"/>
    </row>
    <row r="839" spans="1:1" x14ac:dyDescent="0.25">
      <c r="A839" s="8"/>
    </row>
    <row r="840" spans="1:1" x14ac:dyDescent="0.25">
      <c r="A840" s="8"/>
    </row>
    <row r="841" spans="1:1" x14ac:dyDescent="0.25">
      <c r="A841" s="8"/>
    </row>
    <row r="842" spans="1:1" x14ac:dyDescent="0.25">
      <c r="A842" s="8"/>
    </row>
    <row r="843" spans="1:1" x14ac:dyDescent="0.25">
      <c r="A843" s="8"/>
    </row>
    <row r="844" spans="1:1" x14ac:dyDescent="0.25">
      <c r="A844" s="8"/>
    </row>
    <row r="845" spans="1:1" x14ac:dyDescent="0.25">
      <c r="A845" s="8"/>
    </row>
    <row r="846" spans="1:1" x14ac:dyDescent="0.25">
      <c r="A846" s="8"/>
    </row>
    <row r="847" spans="1:1" x14ac:dyDescent="0.25">
      <c r="A847" s="8"/>
    </row>
    <row r="848" spans="1:1" x14ac:dyDescent="0.25">
      <c r="A848" s="8"/>
    </row>
    <row r="849" spans="1:1" x14ac:dyDescent="0.25">
      <c r="A849" s="8"/>
    </row>
    <row r="850" spans="1:1" x14ac:dyDescent="0.25">
      <c r="A850" s="8"/>
    </row>
    <row r="851" spans="1:1" x14ac:dyDescent="0.25">
      <c r="A851" s="8"/>
    </row>
    <row r="852" spans="1:1" x14ac:dyDescent="0.25">
      <c r="A852" s="8"/>
    </row>
    <row r="853" spans="1:1" x14ac:dyDescent="0.25">
      <c r="A853" s="8"/>
    </row>
    <row r="854" spans="1:1" x14ac:dyDescent="0.25">
      <c r="A854" s="8"/>
    </row>
    <row r="855" spans="1:1" x14ac:dyDescent="0.25">
      <c r="A855" s="8"/>
    </row>
    <row r="856" spans="1:1" x14ac:dyDescent="0.25">
      <c r="A856" s="8"/>
    </row>
    <row r="857" spans="1:1" x14ac:dyDescent="0.25">
      <c r="A857" s="8"/>
    </row>
    <row r="858" spans="1:1" x14ac:dyDescent="0.25">
      <c r="A858" s="8"/>
    </row>
    <row r="859" spans="1:1" x14ac:dyDescent="0.25">
      <c r="A859" s="8"/>
    </row>
    <row r="860" spans="1:1" x14ac:dyDescent="0.25">
      <c r="A860" s="8"/>
    </row>
    <row r="861" spans="1:1" x14ac:dyDescent="0.25">
      <c r="A861" s="8"/>
    </row>
    <row r="862" spans="1:1" x14ac:dyDescent="0.25">
      <c r="A862" s="8"/>
    </row>
    <row r="863" spans="1:1" x14ac:dyDescent="0.25">
      <c r="A863" s="8"/>
    </row>
    <row r="864" spans="1:1" x14ac:dyDescent="0.25">
      <c r="A864" s="8"/>
    </row>
    <row r="865" spans="1:1" x14ac:dyDescent="0.25">
      <c r="A865" s="8"/>
    </row>
    <row r="866" spans="1:1" x14ac:dyDescent="0.25">
      <c r="A866" s="8"/>
    </row>
    <row r="867" spans="1:1" x14ac:dyDescent="0.25">
      <c r="A867" s="8"/>
    </row>
    <row r="868" spans="1:1" x14ac:dyDescent="0.25">
      <c r="A868" s="8"/>
    </row>
    <row r="869" spans="1:1" x14ac:dyDescent="0.25">
      <c r="A869" s="8"/>
    </row>
    <row r="870" spans="1:1" x14ac:dyDescent="0.25">
      <c r="A870" s="8"/>
    </row>
    <row r="871" spans="1:1" x14ac:dyDescent="0.25">
      <c r="A871" s="8"/>
    </row>
    <row r="872" spans="1:1" x14ac:dyDescent="0.25">
      <c r="A872" s="8"/>
    </row>
    <row r="873" spans="1:1" x14ac:dyDescent="0.25">
      <c r="A873" s="8"/>
    </row>
    <row r="874" spans="1:1" x14ac:dyDescent="0.25">
      <c r="A874" s="8"/>
    </row>
    <row r="875" spans="1:1" x14ac:dyDescent="0.25">
      <c r="A875" s="8"/>
    </row>
    <row r="876" spans="1:1" x14ac:dyDescent="0.25">
      <c r="A876" s="8"/>
    </row>
    <row r="877" spans="1:1" x14ac:dyDescent="0.25">
      <c r="A877" s="8"/>
    </row>
    <row r="878" spans="1:1" x14ac:dyDescent="0.25">
      <c r="A878" s="8"/>
    </row>
    <row r="879" spans="1:1" x14ac:dyDescent="0.25">
      <c r="A879" s="8"/>
    </row>
    <row r="880" spans="1:1" x14ac:dyDescent="0.25">
      <c r="A880" s="8"/>
    </row>
    <row r="881" spans="1:1" x14ac:dyDescent="0.25">
      <c r="A881" s="8"/>
    </row>
    <row r="882" spans="1:1" x14ac:dyDescent="0.25">
      <c r="A882" s="8"/>
    </row>
    <row r="883" spans="1:1" x14ac:dyDescent="0.25">
      <c r="A883" s="8"/>
    </row>
    <row r="884" spans="1:1" x14ac:dyDescent="0.25">
      <c r="A884" s="8"/>
    </row>
    <row r="885" spans="1:1" x14ac:dyDescent="0.25">
      <c r="A885" s="8"/>
    </row>
    <row r="886" spans="1:1" x14ac:dyDescent="0.25">
      <c r="A886" s="8"/>
    </row>
    <row r="887" spans="1:1" x14ac:dyDescent="0.25">
      <c r="A887" s="8"/>
    </row>
    <row r="888" spans="1:1" x14ac:dyDescent="0.25">
      <c r="A888" s="8"/>
    </row>
    <row r="889" spans="1:1" x14ac:dyDescent="0.25">
      <c r="A889" s="8"/>
    </row>
    <row r="890" spans="1:1" x14ac:dyDescent="0.25">
      <c r="A890" s="8"/>
    </row>
    <row r="891" spans="1:1" x14ac:dyDescent="0.25">
      <c r="A891" s="8"/>
    </row>
    <row r="892" spans="1:1" x14ac:dyDescent="0.25">
      <c r="A892" s="8"/>
    </row>
    <row r="893" spans="1:1" x14ac:dyDescent="0.25">
      <c r="A893" s="8"/>
    </row>
    <row r="894" spans="1:1" x14ac:dyDescent="0.25">
      <c r="A894" s="8"/>
    </row>
    <row r="895" spans="1:1" x14ac:dyDescent="0.25">
      <c r="A895" s="8"/>
    </row>
    <row r="896" spans="1:1" x14ac:dyDescent="0.25">
      <c r="A896" s="8"/>
    </row>
    <row r="897" spans="1:1" x14ac:dyDescent="0.25">
      <c r="A897" s="8"/>
    </row>
    <row r="898" spans="1:1" x14ac:dyDescent="0.25">
      <c r="A898" s="8"/>
    </row>
    <row r="899" spans="1:1" x14ac:dyDescent="0.25">
      <c r="A899" s="8"/>
    </row>
    <row r="900" spans="1:1" x14ac:dyDescent="0.25">
      <c r="A900" s="8"/>
    </row>
    <row r="901" spans="1:1" x14ac:dyDescent="0.25">
      <c r="A901" s="8"/>
    </row>
    <row r="902" spans="1:1" x14ac:dyDescent="0.25">
      <c r="A902" s="8"/>
    </row>
    <row r="903" spans="1:1" x14ac:dyDescent="0.25">
      <c r="A903" s="8"/>
    </row>
    <row r="904" spans="1:1" x14ac:dyDescent="0.25">
      <c r="A904" s="8"/>
    </row>
    <row r="905" spans="1:1" x14ac:dyDescent="0.25">
      <c r="A905" s="8"/>
    </row>
    <row r="906" spans="1:1" x14ac:dyDescent="0.25">
      <c r="A906" s="8"/>
    </row>
    <row r="907" spans="1:1" x14ac:dyDescent="0.25">
      <c r="A907" s="8"/>
    </row>
    <row r="908" spans="1:1" x14ac:dyDescent="0.25">
      <c r="A908" s="8"/>
    </row>
    <row r="909" spans="1:1" x14ac:dyDescent="0.25">
      <c r="A909" s="8"/>
    </row>
    <row r="910" spans="1:1" x14ac:dyDescent="0.25">
      <c r="A910" s="8"/>
    </row>
    <row r="911" spans="1:1" x14ac:dyDescent="0.25">
      <c r="A911" s="8"/>
    </row>
    <row r="912" spans="1:1" x14ac:dyDescent="0.25">
      <c r="A912" s="8"/>
    </row>
    <row r="913" spans="1:1" x14ac:dyDescent="0.25">
      <c r="A913" s="8"/>
    </row>
    <row r="914" spans="1:1" x14ac:dyDescent="0.25">
      <c r="A914" s="8"/>
    </row>
    <row r="915" spans="1:1" x14ac:dyDescent="0.25">
      <c r="A915" s="8"/>
    </row>
    <row r="916" spans="1:1" x14ac:dyDescent="0.25">
      <c r="A916" s="8"/>
    </row>
    <row r="917" spans="1:1" x14ac:dyDescent="0.25">
      <c r="A917" s="8"/>
    </row>
    <row r="918" spans="1:1" x14ac:dyDescent="0.25">
      <c r="A918" s="8"/>
    </row>
    <row r="919" spans="1:1" x14ac:dyDescent="0.25">
      <c r="A919" s="8"/>
    </row>
    <row r="920" spans="1:1" x14ac:dyDescent="0.25">
      <c r="A920" s="8"/>
    </row>
    <row r="921" spans="1:1" x14ac:dyDescent="0.25">
      <c r="A921" s="8"/>
    </row>
    <row r="922" spans="1:1" x14ac:dyDescent="0.25">
      <c r="A922" s="8"/>
    </row>
    <row r="923" spans="1:1" x14ac:dyDescent="0.25">
      <c r="A923" s="8"/>
    </row>
    <row r="924" spans="1:1" x14ac:dyDescent="0.25">
      <c r="A924" s="8"/>
    </row>
    <row r="925" spans="1:1" x14ac:dyDescent="0.25">
      <c r="A925" s="8"/>
    </row>
    <row r="926" spans="1:1" x14ac:dyDescent="0.25">
      <c r="A926" s="8"/>
    </row>
    <row r="927" spans="1:1" x14ac:dyDescent="0.25">
      <c r="A927" s="8"/>
    </row>
    <row r="928" spans="1:1" x14ac:dyDescent="0.25">
      <c r="A928" s="8"/>
    </row>
    <row r="929" spans="1:1" x14ac:dyDescent="0.25">
      <c r="A929" s="8"/>
    </row>
    <row r="930" spans="1:1" x14ac:dyDescent="0.25">
      <c r="A930" s="8"/>
    </row>
    <row r="931" spans="1:1" x14ac:dyDescent="0.25">
      <c r="A931" s="8"/>
    </row>
    <row r="932" spans="1:1" x14ac:dyDescent="0.25">
      <c r="A932" s="8"/>
    </row>
    <row r="933" spans="1:1" x14ac:dyDescent="0.25">
      <c r="A933" s="8"/>
    </row>
    <row r="934" spans="1:1" x14ac:dyDescent="0.25">
      <c r="A934" s="8"/>
    </row>
    <row r="935" spans="1:1" x14ac:dyDescent="0.25">
      <c r="A935" s="8"/>
    </row>
    <row r="936" spans="1:1" x14ac:dyDescent="0.25">
      <c r="A936" s="8"/>
    </row>
    <row r="937" spans="1:1" x14ac:dyDescent="0.25">
      <c r="A937" s="8"/>
    </row>
    <row r="938" spans="1:1" x14ac:dyDescent="0.25">
      <c r="A938" s="8"/>
    </row>
    <row r="939" spans="1:1" x14ac:dyDescent="0.25">
      <c r="A939" s="8"/>
    </row>
    <row r="940" spans="1:1" x14ac:dyDescent="0.25">
      <c r="A940" s="8"/>
    </row>
    <row r="941" spans="1:1" x14ac:dyDescent="0.25">
      <c r="A941" s="8"/>
    </row>
    <row r="942" spans="1:1" x14ac:dyDescent="0.25">
      <c r="A942" s="8"/>
    </row>
    <row r="943" spans="1:1" x14ac:dyDescent="0.25">
      <c r="A943" s="8"/>
    </row>
    <row r="944" spans="1:1" x14ac:dyDescent="0.25">
      <c r="A944" s="8"/>
    </row>
    <row r="945" spans="1:1" x14ac:dyDescent="0.25">
      <c r="A945" s="8"/>
    </row>
    <row r="946" spans="1:1" x14ac:dyDescent="0.25">
      <c r="A946" s="8"/>
    </row>
    <row r="947" spans="1:1" x14ac:dyDescent="0.25">
      <c r="A947" s="8"/>
    </row>
    <row r="948" spans="1:1" x14ac:dyDescent="0.25">
      <c r="A948" s="8"/>
    </row>
    <row r="949" spans="1:1" x14ac:dyDescent="0.25">
      <c r="A949" s="8"/>
    </row>
    <row r="950" spans="1:1" x14ac:dyDescent="0.25">
      <c r="A950" s="8"/>
    </row>
    <row r="951" spans="1:1" x14ac:dyDescent="0.25">
      <c r="A951" s="8"/>
    </row>
    <row r="952" spans="1:1" x14ac:dyDescent="0.25">
      <c r="A952" s="8"/>
    </row>
    <row r="953" spans="1:1" x14ac:dyDescent="0.25">
      <c r="A953" s="8"/>
    </row>
    <row r="954" spans="1:1" x14ac:dyDescent="0.25">
      <c r="A954" s="8"/>
    </row>
    <row r="955" spans="1:1" x14ac:dyDescent="0.25">
      <c r="A955" s="8"/>
    </row>
    <row r="956" spans="1:1" x14ac:dyDescent="0.25">
      <c r="A956" s="8"/>
    </row>
    <row r="957" spans="1:1" x14ac:dyDescent="0.25">
      <c r="A957" s="8"/>
    </row>
    <row r="958" spans="1:1" x14ac:dyDescent="0.25">
      <c r="A958" s="8"/>
    </row>
    <row r="959" spans="1:1" x14ac:dyDescent="0.25">
      <c r="A959" s="8"/>
    </row>
    <row r="960" spans="1:1" x14ac:dyDescent="0.25">
      <c r="A960" s="8"/>
    </row>
    <row r="961" spans="1:1" x14ac:dyDescent="0.25">
      <c r="A961" s="8"/>
    </row>
    <row r="962" spans="1:1" x14ac:dyDescent="0.25">
      <c r="A962" s="8"/>
    </row>
    <row r="963" spans="1:1" x14ac:dyDescent="0.25">
      <c r="A963" s="8"/>
    </row>
    <row r="964" spans="1:1" x14ac:dyDescent="0.25">
      <c r="A964" s="8"/>
    </row>
    <row r="965" spans="1:1" x14ac:dyDescent="0.25">
      <c r="A965" s="8"/>
    </row>
    <row r="966" spans="1:1" x14ac:dyDescent="0.25">
      <c r="A966" s="8"/>
    </row>
    <row r="967" spans="1:1" x14ac:dyDescent="0.25">
      <c r="A967" s="8"/>
    </row>
    <row r="968" spans="1:1" x14ac:dyDescent="0.25">
      <c r="A968" s="8"/>
    </row>
    <row r="969" spans="1:1" x14ac:dyDescent="0.25">
      <c r="A969" s="8"/>
    </row>
    <row r="970" spans="1:1" x14ac:dyDescent="0.25">
      <c r="A970" s="8"/>
    </row>
    <row r="971" spans="1:1" x14ac:dyDescent="0.25">
      <c r="A971" s="8"/>
    </row>
    <row r="972" spans="1:1" x14ac:dyDescent="0.25">
      <c r="A972" s="8"/>
    </row>
    <row r="973" spans="1:1" x14ac:dyDescent="0.25">
      <c r="A973" s="8"/>
    </row>
    <row r="974" spans="1:1" x14ac:dyDescent="0.25">
      <c r="A974" s="8"/>
    </row>
    <row r="975" spans="1:1" x14ac:dyDescent="0.25">
      <c r="A975" s="8"/>
    </row>
    <row r="976" spans="1:1" x14ac:dyDescent="0.25">
      <c r="A976" s="8"/>
    </row>
    <row r="977" spans="1:1" x14ac:dyDescent="0.25">
      <c r="A977" s="8"/>
    </row>
    <row r="978" spans="1:1" x14ac:dyDescent="0.25">
      <c r="A978" s="8"/>
    </row>
    <row r="979" spans="1:1" x14ac:dyDescent="0.25">
      <c r="A979" s="8"/>
    </row>
    <row r="980" spans="1:1" x14ac:dyDescent="0.25">
      <c r="A980" s="8"/>
    </row>
    <row r="981" spans="1:1" x14ac:dyDescent="0.25">
      <c r="A981" s="8"/>
    </row>
    <row r="982" spans="1:1" x14ac:dyDescent="0.25">
      <c r="A982" s="8"/>
    </row>
    <row r="983" spans="1:1" x14ac:dyDescent="0.25">
      <c r="A983" s="8"/>
    </row>
    <row r="984" spans="1:1" x14ac:dyDescent="0.25">
      <c r="A984" s="8"/>
    </row>
    <row r="985" spans="1:1" x14ac:dyDescent="0.25">
      <c r="A985" s="8"/>
    </row>
    <row r="986" spans="1:1" x14ac:dyDescent="0.25">
      <c r="A986" s="8"/>
    </row>
    <row r="987" spans="1:1" x14ac:dyDescent="0.25">
      <c r="A987" s="8"/>
    </row>
    <row r="988" spans="1:1" x14ac:dyDescent="0.25">
      <c r="A988" s="8"/>
    </row>
    <row r="989" spans="1:1" x14ac:dyDescent="0.25">
      <c r="A989" s="8"/>
    </row>
    <row r="990" spans="1:1" x14ac:dyDescent="0.25">
      <c r="A990" s="8"/>
    </row>
    <row r="991" spans="1:1" x14ac:dyDescent="0.25">
      <c r="A991" s="8"/>
    </row>
    <row r="992" spans="1:1" x14ac:dyDescent="0.25">
      <c r="A992" s="8"/>
    </row>
    <row r="993" spans="1:1" x14ac:dyDescent="0.25">
      <c r="A993" s="8"/>
    </row>
    <row r="994" spans="1:1" x14ac:dyDescent="0.25">
      <c r="A994" s="8"/>
    </row>
    <row r="995" spans="1:1" x14ac:dyDescent="0.25">
      <c r="A995" s="8"/>
    </row>
    <row r="996" spans="1:1" x14ac:dyDescent="0.25">
      <c r="A996" s="8"/>
    </row>
    <row r="997" spans="1:1" x14ac:dyDescent="0.25">
      <c r="A997" s="8"/>
    </row>
    <row r="998" spans="1:1" x14ac:dyDescent="0.25">
      <c r="A998" s="8"/>
    </row>
    <row r="999" spans="1:1" x14ac:dyDescent="0.25">
      <c r="A999" s="8"/>
    </row>
    <row r="1000" spans="1:1" x14ac:dyDescent="0.25">
      <c r="A1000" s="8"/>
    </row>
    <row r="1001" spans="1:1" x14ac:dyDescent="0.25">
      <c r="A1001" s="8"/>
    </row>
    <row r="1002" spans="1:1" x14ac:dyDescent="0.25">
      <c r="A1002" s="8"/>
    </row>
    <row r="1003" spans="1:1" x14ac:dyDescent="0.25">
      <c r="A1003" s="8"/>
    </row>
    <row r="1004" spans="1:1" x14ac:dyDescent="0.25">
      <c r="A1004" s="8"/>
    </row>
    <row r="1005" spans="1:1" x14ac:dyDescent="0.25">
      <c r="A1005" s="8"/>
    </row>
    <row r="1006" spans="1:1" x14ac:dyDescent="0.25">
      <c r="A1006" s="8"/>
    </row>
    <row r="1007" spans="1:1" x14ac:dyDescent="0.25">
      <c r="A1007" s="8"/>
    </row>
    <row r="1008" spans="1:1" x14ac:dyDescent="0.25">
      <c r="A1008" s="8"/>
    </row>
    <row r="1009" spans="1:1" x14ac:dyDescent="0.25">
      <c r="A1009" s="8"/>
    </row>
    <row r="1010" spans="1:1" x14ac:dyDescent="0.25">
      <c r="A1010" s="8"/>
    </row>
    <row r="1011" spans="1:1" x14ac:dyDescent="0.25">
      <c r="A1011" s="8"/>
    </row>
    <row r="1012" spans="1:1" x14ac:dyDescent="0.25">
      <c r="A1012" s="8"/>
    </row>
    <row r="1013" spans="1:1" x14ac:dyDescent="0.25">
      <c r="A1013" s="8"/>
    </row>
    <row r="1014" spans="1:1" x14ac:dyDescent="0.25">
      <c r="A1014" s="8"/>
    </row>
    <row r="1015" spans="1:1" x14ac:dyDescent="0.25">
      <c r="A1015" s="8"/>
    </row>
    <row r="1016" spans="1:1" x14ac:dyDescent="0.25">
      <c r="A1016" s="8"/>
    </row>
    <row r="1017" spans="1:1" x14ac:dyDescent="0.25">
      <c r="A1017" s="8"/>
    </row>
    <row r="1018" spans="1:1" x14ac:dyDescent="0.25">
      <c r="A1018" s="8"/>
    </row>
    <row r="1019" spans="1:1" x14ac:dyDescent="0.25">
      <c r="A1019" s="8"/>
    </row>
    <row r="1020" spans="1:1" x14ac:dyDescent="0.25">
      <c r="A1020" s="8"/>
    </row>
    <row r="1021" spans="1:1" x14ac:dyDescent="0.25">
      <c r="A1021" s="8"/>
    </row>
    <row r="1022" spans="1:1" x14ac:dyDescent="0.25">
      <c r="A1022" s="8"/>
    </row>
    <row r="1023" spans="1:1" x14ac:dyDescent="0.25">
      <c r="A1023" s="8"/>
    </row>
    <row r="1024" spans="1:1" x14ac:dyDescent="0.25">
      <c r="A1024" s="8"/>
    </row>
    <row r="1025" spans="1:1" x14ac:dyDescent="0.25">
      <c r="A1025" s="8"/>
    </row>
    <row r="1026" spans="1:1" x14ac:dyDescent="0.25">
      <c r="A1026" s="8"/>
    </row>
    <row r="1027" spans="1:1" x14ac:dyDescent="0.25">
      <c r="A1027" s="8"/>
    </row>
    <row r="1028" spans="1:1" x14ac:dyDescent="0.25">
      <c r="A1028" s="8"/>
    </row>
    <row r="1029" spans="1:1" x14ac:dyDescent="0.25">
      <c r="A1029" s="8"/>
    </row>
    <row r="1030" spans="1:1" x14ac:dyDescent="0.25">
      <c r="A1030" s="8"/>
    </row>
    <row r="1031" spans="1:1" x14ac:dyDescent="0.25">
      <c r="A1031" s="8"/>
    </row>
    <row r="1032" spans="1:1" x14ac:dyDescent="0.25">
      <c r="A1032" s="8"/>
    </row>
    <row r="1033" spans="1:1" x14ac:dyDescent="0.25">
      <c r="A1033" s="8"/>
    </row>
    <row r="1034" spans="1:1" x14ac:dyDescent="0.25">
      <c r="A1034" s="8"/>
    </row>
    <row r="1035" spans="1:1" x14ac:dyDescent="0.25">
      <c r="A1035" s="8"/>
    </row>
    <row r="1036" spans="1:1" x14ac:dyDescent="0.25">
      <c r="A1036" s="8"/>
    </row>
    <row r="1037" spans="1:1" x14ac:dyDescent="0.25">
      <c r="A1037" s="8"/>
    </row>
    <row r="1038" spans="1:1" x14ac:dyDescent="0.25">
      <c r="A1038" s="8"/>
    </row>
    <row r="1039" spans="1:1" x14ac:dyDescent="0.25">
      <c r="A1039" s="8"/>
    </row>
    <row r="1040" spans="1:1" x14ac:dyDescent="0.25">
      <c r="A1040" s="8"/>
    </row>
    <row r="1041" spans="1:1" x14ac:dyDescent="0.25">
      <c r="A1041" s="8"/>
    </row>
    <row r="1042" spans="1:1" x14ac:dyDescent="0.25">
      <c r="A1042" s="8"/>
    </row>
    <row r="1043" spans="1:1" x14ac:dyDescent="0.25">
      <c r="A1043" s="8"/>
    </row>
    <row r="1044" spans="1:1" x14ac:dyDescent="0.25">
      <c r="A1044" s="8"/>
    </row>
    <row r="1045" spans="1:1" x14ac:dyDescent="0.25">
      <c r="A1045" s="8"/>
    </row>
    <row r="1046" spans="1:1" x14ac:dyDescent="0.25">
      <c r="A1046" s="8"/>
    </row>
    <row r="1047" spans="1:1" x14ac:dyDescent="0.25">
      <c r="A1047" s="8"/>
    </row>
    <row r="1048" spans="1:1" x14ac:dyDescent="0.25">
      <c r="A1048" s="8"/>
    </row>
    <row r="1049" spans="1:1" x14ac:dyDescent="0.25">
      <c r="A1049" s="8"/>
    </row>
    <row r="1050" spans="1:1" x14ac:dyDescent="0.25">
      <c r="A1050" s="8"/>
    </row>
    <row r="1051" spans="1:1" x14ac:dyDescent="0.25">
      <c r="A1051" s="8"/>
    </row>
    <row r="1052" spans="1:1" x14ac:dyDescent="0.25">
      <c r="A1052" s="8"/>
    </row>
    <row r="1053" spans="1:1" x14ac:dyDescent="0.25">
      <c r="A1053" s="8"/>
    </row>
    <row r="1054" spans="1:1" x14ac:dyDescent="0.25">
      <c r="A1054" s="8"/>
    </row>
    <row r="1055" spans="1:1" x14ac:dyDescent="0.25">
      <c r="A1055" s="8"/>
    </row>
    <row r="1056" spans="1:1" x14ac:dyDescent="0.25">
      <c r="A1056" s="8"/>
    </row>
    <row r="1057" spans="1:1" x14ac:dyDescent="0.25">
      <c r="A1057" s="8"/>
    </row>
    <row r="1058" spans="1:1" x14ac:dyDescent="0.25">
      <c r="A1058" s="8"/>
    </row>
    <row r="1059" spans="1:1" x14ac:dyDescent="0.25">
      <c r="A1059" s="8"/>
    </row>
    <row r="1060" spans="1:1" x14ac:dyDescent="0.25">
      <c r="A1060" s="8"/>
    </row>
    <row r="1061" spans="1:1" x14ac:dyDescent="0.25">
      <c r="A1061" s="8"/>
    </row>
    <row r="1062" spans="1:1" x14ac:dyDescent="0.25">
      <c r="A1062" s="8"/>
    </row>
    <row r="1063" spans="1:1" x14ac:dyDescent="0.25">
      <c r="A1063" s="8"/>
    </row>
    <row r="1064" spans="1:1" x14ac:dyDescent="0.25">
      <c r="A1064" s="8"/>
    </row>
    <row r="1065" spans="1:1" x14ac:dyDescent="0.25">
      <c r="A1065" s="8"/>
    </row>
    <row r="1066" spans="1:1" x14ac:dyDescent="0.25">
      <c r="A1066" s="8"/>
    </row>
    <row r="1067" spans="1:1" x14ac:dyDescent="0.25">
      <c r="A1067" s="8"/>
    </row>
    <row r="1068" spans="1:1" x14ac:dyDescent="0.25">
      <c r="A1068" s="8"/>
    </row>
    <row r="1069" spans="1:1" x14ac:dyDescent="0.25">
      <c r="A1069" s="8"/>
    </row>
    <row r="1070" spans="1:1" x14ac:dyDescent="0.25">
      <c r="A1070" s="8"/>
    </row>
    <row r="1071" spans="1:1" x14ac:dyDescent="0.25">
      <c r="A1071" s="8"/>
    </row>
    <row r="1072" spans="1:1" x14ac:dyDescent="0.25">
      <c r="A1072" s="8"/>
    </row>
    <row r="1073" spans="1:1" x14ac:dyDescent="0.25">
      <c r="A1073" s="8"/>
    </row>
    <row r="1074" spans="1:1" x14ac:dyDescent="0.25">
      <c r="A1074" s="8"/>
    </row>
    <row r="1075" spans="1:1" x14ac:dyDescent="0.25">
      <c r="A1075" s="8"/>
    </row>
    <row r="1076" spans="1:1" x14ac:dyDescent="0.25">
      <c r="A1076" s="8"/>
    </row>
    <row r="1077" spans="1:1" x14ac:dyDescent="0.25">
      <c r="A1077" s="8"/>
    </row>
    <row r="1078" spans="1:1" x14ac:dyDescent="0.25">
      <c r="A1078" s="8"/>
    </row>
    <row r="1079" spans="1:1" x14ac:dyDescent="0.25">
      <c r="A1079" s="8"/>
    </row>
    <row r="1080" spans="1:1" x14ac:dyDescent="0.25">
      <c r="A1080" s="8"/>
    </row>
    <row r="1081" spans="1:1" x14ac:dyDescent="0.25">
      <c r="A1081" s="8"/>
    </row>
    <row r="1082" spans="1:1" x14ac:dyDescent="0.25">
      <c r="A1082" s="8"/>
    </row>
    <row r="1083" spans="1:1" x14ac:dyDescent="0.25">
      <c r="A1083" s="8"/>
    </row>
    <row r="1084" spans="1:1" x14ac:dyDescent="0.25">
      <c r="A1084" s="8"/>
    </row>
    <row r="1085" spans="1:1" x14ac:dyDescent="0.25">
      <c r="A1085" s="8"/>
    </row>
    <row r="1086" spans="1:1" x14ac:dyDescent="0.25">
      <c r="A1086" s="8"/>
    </row>
    <row r="1087" spans="1:1" x14ac:dyDescent="0.25">
      <c r="A1087" s="8"/>
    </row>
    <row r="1088" spans="1:1" x14ac:dyDescent="0.25">
      <c r="A1088" s="8"/>
    </row>
    <row r="1089" spans="1:1" x14ac:dyDescent="0.25">
      <c r="A1089" s="8"/>
    </row>
    <row r="1090" spans="1:1" x14ac:dyDescent="0.25">
      <c r="A1090" s="8"/>
    </row>
    <row r="1091" spans="1:1" x14ac:dyDescent="0.25">
      <c r="A1091" s="8"/>
    </row>
    <row r="1092" spans="1:1" x14ac:dyDescent="0.25">
      <c r="A1092" s="8"/>
    </row>
    <row r="1093" spans="1:1" x14ac:dyDescent="0.25">
      <c r="A1093" s="8"/>
    </row>
    <row r="1094" spans="1:1" x14ac:dyDescent="0.25">
      <c r="A1094" s="8"/>
    </row>
    <row r="1095" spans="1:1" x14ac:dyDescent="0.25">
      <c r="A1095" s="8"/>
    </row>
    <row r="1096" spans="1:1" x14ac:dyDescent="0.25">
      <c r="A1096" s="8"/>
    </row>
    <row r="1097" spans="1:1" x14ac:dyDescent="0.25">
      <c r="A1097" s="8"/>
    </row>
    <row r="1098" spans="1:1" x14ac:dyDescent="0.25">
      <c r="A1098" s="8"/>
    </row>
    <row r="1099" spans="1:1" x14ac:dyDescent="0.25">
      <c r="A1099" s="8"/>
    </row>
    <row r="1100" spans="1:1" x14ac:dyDescent="0.25">
      <c r="A1100" s="8"/>
    </row>
    <row r="1101" spans="1:1" x14ac:dyDescent="0.25">
      <c r="A1101" s="8"/>
    </row>
    <row r="1102" spans="1:1" x14ac:dyDescent="0.25">
      <c r="A1102" s="8"/>
    </row>
    <row r="1103" spans="1:1" x14ac:dyDescent="0.25">
      <c r="A1103" s="8"/>
    </row>
    <row r="1104" spans="1:1" x14ac:dyDescent="0.25">
      <c r="A1104" s="8"/>
    </row>
    <row r="1105" spans="1:1" x14ac:dyDescent="0.25">
      <c r="A1105" s="8"/>
    </row>
    <row r="1106" spans="1:1" x14ac:dyDescent="0.25">
      <c r="A1106" s="8"/>
    </row>
    <row r="1107" spans="1:1" x14ac:dyDescent="0.25">
      <c r="A1107" s="8"/>
    </row>
    <row r="1108" spans="1:1" x14ac:dyDescent="0.25">
      <c r="A1108" s="8"/>
    </row>
    <row r="1109" spans="1:1" x14ac:dyDescent="0.25">
      <c r="A1109" s="8"/>
    </row>
    <row r="1110" spans="1:1" x14ac:dyDescent="0.25">
      <c r="A1110" s="8"/>
    </row>
    <row r="1111" spans="1:1" x14ac:dyDescent="0.25">
      <c r="A1111" s="8"/>
    </row>
    <row r="1112" spans="1:1" x14ac:dyDescent="0.25">
      <c r="A1112" s="8"/>
    </row>
    <row r="1113" spans="1:1" x14ac:dyDescent="0.25">
      <c r="A1113" s="8"/>
    </row>
    <row r="1114" spans="1:1" x14ac:dyDescent="0.25">
      <c r="A1114" s="8"/>
    </row>
    <row r="1115" spans="1:1" x14ac:dyDescent="0.25">
      <c r="A1115" s="8"/>
    </row>
    <row r="1116" spans="1:1" x14ac:dyDescent="0.25">
      <c r="A1116" s="8"/>
    </row>
    <row r="1117" spans="1:1" x14ac:dyDescent="0.25">
      <c r="A1117" s="8"/>
    </row>
    <row r="1118" spans="1:1" x14ac:dyDescent="0.25">
      <c r="A1118" s="8"/>
    </row>
    <row r="1119" spans="1:1" x14ac:dyDescent="0.25">
      <c r="A1119" s="8"/>
    </row>
    <row r="1120" spans="1:1" x14ac:dyDescent="0.25">
      <c r="A1120" s="8"/>
    </row>
    <row r="1121" spans="1:1" x14ac:dyDescent="0.25">
      <c r="A1121" s="8"/>
    </row>
    <row r="1122" spans="1:1" x14ac:dyDescent="0.25">
      <c r="A1122" s="8"/>
    </row>
    <row r="1123" spans="1:1" x14ac:dyDescent="0.25">
      <c r="A1123" s="8"/>
    </row>
    <row r="1124" spans="1:1" x14ac:dyDescent="0.25">
      <c r="A1124" s="8"/>
    </row>
    <row r="1125" spans="1:1" x14ac:dyDescent="0.25">
      <c r="A1125" s="8"/>
    </row>
    <row r="1126" spans="1:1" x14ac:dyDescent="0.25">
      <c r="A1126" s="8"/>
    </row>
    <row r="1127" spans="1:1" x14ac:dyDescent="0.25">
      <c r="A1127" s="8"/>
    </row>
    <row r="1128" spans="1:1" x14ac:dyDescent="0.25">
      <c r="A1128" s="8"/>
    </row>
    <row r="1129" spans="1:1" x14ac:dyDescent="0.25">
      <c r="A1129" s="8"/>
    </row>
    <row r="1130" spans="1:1" x14ac:dyDescent="0.25">
      <c r="A1130" s="8"/>
    </row>
    <row r="1131" spans="1:1" x14ac:dyDescent="0.25">
      <c r="A1131" s="8"/>
    </row>
    <row r="1132" spans="1:1" x14ac:dyDescent="0.25">
      <c r="A1132" s="8"/>
    </row>
    <row r="1133" spans="1:1" x14ac:dyDescent="0.25">
      <c r="A1133" s="8"/>
    </row>
    <row r="1134" spans="1:1" x14ac:dyDescent="0.25">
      <c r="A1134" s="8"/>
    </row>
    <row r="1135" spans="1:1" x14ac:dyDescent="0.25">
      <c r="A1135" s="8"/>
    </row>
    <row r="1136" spans="1:1" x14ac:dyDescent="0.25">
      <c r="A1136" s="8"/>
    </row>
    <row r="1137" spans="1:1" x14ac:dyDescent="0.25">
      <c r="A1137" s="8"/>
    </row>
    <row r="1138" spans="1:1" x14ac:dyDescent="0.25">
      <c r="A1138" s="8"/>
    </row>
    <row r="1139" spans="1:1" x14ac:dyDescent="0.25">
      <c r="A1139" s="8"/>
    </row>
    <row r="1140" spans="1:1" x14ac:dyDescent="0.25">
      <c r="A1140" s="8"/>
    </row>
    <row r="1141" spans="1:1" x14ac:dyDescent="0.25">
      <c r="A1141" s="8"/>
    </row>
    <row r="1142" spans="1:1" x14ac:dyDescent="0.25">
      <c r="A1142" s="8"/>
    </row>
    <row r="1143" spans="1:1" x14ac:dyDescent="0.25">
      <c r="A1143" s="8"/>
    </row>
    <row r="1144" spans="1:1" x14ac:dyDescent="0.25">
      <c r="A1144" s="8"/>
    </row>
    <row r="1145" spans="1:1" x14ac:dyDescent="0.25">
      <c r="A1145" s="8"/>
    </row>
    <row r="1146" spans="1:1" x14ac:dyDescent="0.25">
      <c r="A1146" s="8"/>
    </row>
    <row r="1147" spans="1:1" x14ac:dyDescent="0.25">
      <c r="A1147" s="8"/>
    </row>
    <row r="1148" spans="1:1" x14ac:dyDescent="0.25">
      <c r="A1148" s="8"/>
    </row>
    <row r="1149" spans="1:1" x14ac:dyDescent="0.25">
      <c r="A1149" s="8"/>
    </row>
    <row r="1150" spans="1:1" x14ac:dyDescent="0.25">
      <c r="A1150" s="8"/>
    </row>
    <row r="1151" spans="1:1" x14ac:dyDescent="0.25">
      <c r="A1151" s="8"/>
    </row>
    <row r="1152" spans="1:1" x14ac:dyDescent="0.25">
      <c r="A1152" s="8"/>
    </row>
    <row r="1153" spans="1:1" x14ac:dyDescent="0.25">
      <c r="A1153" s="8"/>
    </row>
    <row r="1154" spans="1:1" x14ac:dyDescent="0.25">
      <c r="A1154" s="8"/>
    </row>
    <row r="1155" spans="1:1" x14ac:dyDescent="0.25">
      <c r="A1155" s="8"/>
    </row>
    <row r="1156" spans="1:1" x14ac:dyDescent="0.25">
      <c r="A1156" s="8"/>
    </row>
    <row r="1157" spans="1:1" x14ac:dyDescent="0.25">
      <c r="A1157" s="8"/>
    </row>
    <row r="1158" spans="1:1" x14ac:dyDescent="0.25">
      <c r="A1158" s="8"/>
    </row>
    <row r="1159" spans="1:1" x14ac:dyDescent="0.25">
      <c r="A1159" s="8"/>
    </row>
    <row r="1160" spans="1:1" x14ac:dyDescent="0.25">
      <c r="A1160" s="8"/>
    </row>
    <row r="1161" spans="1:1" x14ac:dyDescent="0.25">
      <c r="A1161" s="8"/>
    </row>
    <row r="1162" spans="1:1" x14ac:dyDescent="0.25">
      <c r="A1162" s="8"/>
    </row>
    <row r="1163" spans="1:1" x14ac:dyDescent="0.25">
      <c r="A1163" s="8"/>
    </row>
    <row r="1164" spans="1:1" x14ac:dyDescent="0.25">
      <c r="A1164" s="8"/>
    </row>
    <row r="1165" spans="1:1" x14ac:dyDescent="0.25">
      <c r="A1165" s="8"/>
    </row>
    <row r="1166" spans="1:1" x14ac:dyDescent="0.25">
      <c r="A1166" s="8"/>
    </row>
    <row r="1167" spans="1:1" x14ac:dyDescent="0.25">
      <c r="A1167" s="8"/>
    </row>
    <row r="1168" spans="1:1" x14ac:dyDescent="0.25">
      <c r="A1168" s="8"/>
    </row>
    <row r="1169" spans="1:1" x14ac:dyDescent="0.25">
      <c r="A1169" s="8"/>
    </row>
    <row r="1170" spans="1:1" x14ac:dyDescent="0.25">
      <c r="A1170" s="8"/>
    </row>
    <row r="1171" spans="1:1" x14ac:dyDescent="0.25">
      <c r="A1171" s="8"/>
    </row>
    <row r="1172" spans="1:1" x14ac:dyDescent="0.25">
      <c r="A1172" s="8"/>
    </row>
    <row r="1173" spans="1:1" x14ac:dyDescent="0.25">
      <c r="A1173" s="8"/>
    </row>
    <row r="1174" spans="1:1" x14ac:dyDescent="0.25">
      <c r="A1174" s="8"/>
    </row>
    <row r="1175" spans="1:1" x14ac:dyDescent="0.25">
      <c r="A1175" s="8"/>
    </row>
    <row r="1176" spans="1:1" x14ac:dyDescent="0.25">
      <c r="A1176" s="8"/>
    </row>
    <row r="1177" spans="1:1" x14ac:dyDescent="0.25">
      <c r="A1177" s="8"/>
    </row>
    <row r="1178" spans="1:1" x14ac:dyDescent="0.25">
      <c r="A1178" s="8"/>
    </row>
    <row r="1179" spans="1:1" x14ac:dyDescent="0.25">
      <c r="A1179" s="8"/>
    </row>
    <row r="1180" spans="1:1" x14ac:dyDescent="0.25">
      <c r="A1180" s="8"/>
    </row>
    <row r="1181" spans="1:1" x14ac:dyDescent="0.25">
      <c r="A1181" s="8"/>
    </row>
    <row r="1182" spans="1:1" x14ac:dyDescent="0.25">
      <c r="A1182" s="8"/>
    </row>
    <row r="1183" spans="1:1" x14ac:dyDescent="0.25">
      <c r="A1183" s="8"/>
    </row>
    <row r="1184" spans="1:1" x14ac:dyDescent="0.25">
      <c r="A1184" s="8"/>
    </row>
    <row r="1185" spans="1:1" x14ac:dyDescent="0.25">
      <c r="A1185" s="8"/>
    </row>
    <row r="1186" spans="1:1" x14ac:dyDescent="0.25">
      <c r="A1186" s="8"/>
    </row>
    <row r="1187" spans="1:1" x14ac:dyDescent="0.25">
      <c r="A1187" s="8"/>
    </row>
    <row r="1188" spans="1:1" x14ac:dyDescent="0.25">
      <c r="A1188" s="8"/>
    </row>
    <row r="1189" spans="1:1" x14ac:dyDescent="0.25">
      <c r="A1189" s="8"/>
    </row>
    <row r="1190" spans="1:1" x14ac:dyDescent="0.25">
      <c r="A1190" s="8"/>
    </row>
    <row r="1191" spans="1:1" x14ac:dyDescent="0.25">
      <c r="A1191" s="8"/>
    </row>
    <row r="1192" spans="1:1" x14ac:dyDescent="0.25">
      <c r="A1192" s="8"/>
    </row>
    <row r="1193" spans="1:1" x14ac:dyDescent="0.25">
      <c r="A1193" s="8"/>
    </row>
    <row r="1194" spans="1:1" x14ac:dyDescent="0.25">
      <c r="A1194" s="8"/>
    </row>
    <row r="1195" spans="1:1" x14ac:dyDescent="0.25">
      <c r="A1195" s="8"/>
    </row>
    <row r="1196" spans="1:1" x14ac:dyDescent="0.25">
      <c r="A1196" s="8"/>
    </row>
    <row r="1197" spans="1:1" x14ac:dyDescent="0.25">
      <c r="A1197" s="8"/>
    </row>
    <row r="1198" spans="1:1" x14ac:dyDescent="0.25">
      <c r="A1198" s="8"/>
    </row>
    <row r="1199" spans="1:1" x14ac:dyDescent="0.25">
      <c r="A1199" s="8"/>
    </row>
    <row r="1200" spans="1:1" x14ac:dyDescent="0.25">
      <c r="A1200" s="8"/>
    </row>
    <row r="1201" spans="1:1" x14ac:dyDescent="0.25">
      <c r="A1201" s="8"/>
    </row>
    <row r="1202" spans="1:1" x14ac:dyDescent="0.25">
      <c r="A1202" s="8"/>
    </row>
    <row r="1203" spans="1:1" x14ac:dyDescent="0.25">
      <c r="A1203" s="8"/>
    </row>
    <row r="1204" spans="1:1" x14ac:dyDescent="0.25">
      <c r="A1204" s="8"/>
    </row>
    <row r="1205" spans="1:1" x14ac:dyDescent="0.25">
      <c r="A1205" s="8"/>
    </row>
    <row r="1206" spans="1:1" x14ac:dyDescent="0.25">
      <c r="A1206" s="8"/>
    </row>
    <row r="1207" spans="1:1" x14ac:dyDescent="0.25">
      <c r="A1207" s="8"/>
    </row>
    <row r="1208" spans="1:1" x14ac:dyDescent="0.25">
      <c r="A1208" s="8"/>
    </row>
    <row r="1209" spans="1:1" x14ac:dyDescent="0.25">
      <c r="A1209" s="8"/>
    </row>
    <row r="1210" spans="1:1" x14ac:dyDescent="0.25">
      <c r="A1210" s="8"/>
    </row>
    <row r="1211" spans="1:1" x14ac:dyDescent="0.25">
      <c r="A1211" s="8"/>
    </row>
    <row r="1212" spans="1:1" x14ac:dyDescent="0.25">
      <c r="A1212" s="8"/>
    </row>
    <row r="1213" spans="1:1" x14ac:dyDescent="0.25">
      <c r="A1213" s="8"/>
    </row>
    <row r="1214" spans="1:1" x14ac:dyDescent="0.25">
      <c r="A1214" s="8"/>
    </row>
    <row r="1215" spans="1:1" x14ac:dyDescent="0.25">
      <c r="A1215" s="8"/>
    </row>
    <row r="1216" spans="1:1" x14ac:dyDescent="0.25">
      <c r="A1216" s="8"/>
    </row>
    <row r="1217" spans="1:1" x14ac:dyDescent="0.25">
      <c r="A1217" s="8"/>
    </row>
    <row r="1218" spans="1:1" x14ac:dyDescent="0.25">
      <c r="A1218" s="8"/>
    </row>
    <row r="1219" spans="1:1" x14ac:dyDescent="0.25">
      <c r="A1219" s="8"/>
    </row>
    <row r="1220" spans="1:1" x14ac:dyDescent="0.25">
      <c r="A1220" s="8"/>
    </row>
    <row r="1221" spans="1:1" x14ac:dyDescent="0.25">
      <c r="A1221" s="8"/>
    </row>
    <row r="1222" spans="1:1" x14ac:dyDescent="0.25">
      <c r="A1222" s="8"/>
    </row>
    <row r="1223" spans="1:1" x14ac:dyDescent="0.25">
      <c r="A1223" s="8"/>
    </row>
    <row r="1224" spans="1:1" x14ac:dyDescent="0.25">
      <c r="A1224" s="8"/>
    </row>
    <row r="1225" spans="1:1" x14ac:dyDescent="0.25">
      <c r="A1225" s="8"/>
    </row>
    <row r="1226" spans="1:1" x14ac:dyDescent="0.25">
      <c r="A1226" s="8"/>
    </row>
    <row r="1227" spans="1:1" x14ac:dyDescent="0.25">
      <c r="A1227" s="8"/>
    </row>
    <row r="1228" spans="1:1" x14ac:dyDescent="0.25">
      <c r="A1228" s="8"/>
    </row>
    <row r="1229" spans="1:1" x14ac:dyDescent="0.25">
      <c r="A1229" s="8"/>
    </row>
    <row r="1230" spans="1:1" x14ac:dyDescent="0.25">
      <c r="A1230" s="8"/>
    </row>
    <row r="1231" spans="1:1" x14ac:dyDescent="0.25">
      <c r="A1231" s="8"/>
    </row>
    <row r="1232" spans="1:1" x14ac:dyDescent="0.25">
      <c r="A1232" s="8"/>
    </row>
    <row r="1233" spans="1:1" x14ac:dyDescent="0.25">
      <c r="A1233" s="8"/>
    </row>
    <row r="1234" spans="1:1" x14ac:dyDescent="0.25">
      <c r="A1234" s="8"/>
    </row>
    <row r="1235" spans="1:1" x14ac:dyDescent="0.25">
      <c r="A1235" s="8"/>
    </row>
    <row r="1236" spans="1:1" x14ac:dyDescent="0.25">
      <c r="A1236" s="8"/>
    </row>
    <row r="1237" spans="1:1" x14ac:dyDescent="0.25">
      <c r="A1237" s="8"/>
    </row>
    <row r="1238" spans="1:1" x14ac:dyDescent="0.25">
      <c r="A1238" s="8"/>
    </row>
    <row r="1239" spans="1:1" x14ac:dyDescent="0.25">
      <c r="A1239" s="8"/>
    </row>
    <row r="1240" spans="1:1" x14ac:dyDescent="0.25">
      <c r="A1240" s="8"/>
    </row>
    <row r="1241" spans="1:1" x14ac:dyDescent="0.25">
      <c r="A1241" s="8"/>
    </row>
    <row r="1242" spans="1:1" x14ac:dyDescent="0.25">
      <c r="A1242" s="8"/>
    </row>
    <row r="1243" spans="1:1" x14ac:dyDescent="0.25">
      <c r="A1243" s="8"/>
    </row>
    <row r="1244" spans="1:1" x14ac:dyDescent="0.25">
      <c r="A1244" s="8"/>
    </row>
    <row r="1245" spans="1:1" x14ac:dyDescent="0.25">
      <c r="A1245" s="8"/>
    </row>
    <row r="1246" spans="1:1" x14ac:dyDescent="0.25">
      <c r="A1246" s="8"/>
    </row>
    <row r="1247" spans="1:1" x14ac:dyDescent="0.25">
      <c r="A1247" s="8"/>
    </row>
    <row r="1248" spans="1:1" x14ac:dyDescent="0.25">
      <c r="A1248" s="8"/>
    </row>
    <row r="1249" spans="1:1" x14ac:dyDescent="0.25">
      <c r="A1249" s="8"/>
    </row>
    <row r="1250" spans="1:1" x14ac:dyDescent="0.25">
      <c r="A1250" s="8"/>
    </row>
    <row r="1251" spans="1:1" x14ac:dyDescent="0.25">
      <c r="A1251" s="8"/>
    </row>
    <row r="1252" spans="1:1" x14ac:dyDescent="0.25">
      <c r="A1252" s="8"/>
    </row>
    <row r="1253" spans="1:1" x14ac:dyDescent="0.25">
      <c r="A1253" s="8"/>
    </row>
    <row r="1254" spans="1:1" x14ac:dyDescent="0.25">
      <c r="A1254" s="8"/>
    </row>
    <row r="1255" spans="1:1" x14ac:dyDescent="0.25">
      <c r="A1255" s="8"/>
    </row>
    <row r="1256" spans="1:1" x14ac:dyDescent="0.25">
      <c r="A1256" s="8"/>
    </row>
    <row r="1257" spans="1:1" x14ac:dyDescent="0.25">
      <c r="A1257" s="8"/>
    </row>
    <row r="1258" spans="1:1" x14ac:dyDescent="0.25">
      <c r="A1258" s="8"/>
    </row>
    <row r="1259" spans="1:1" x14ac:dyDescent="0.25">
      <c r="A1259" s="8"/>
    </row>
    <row r="1260" spans="1:1" x14ac:dyDescent="0.25">
      <c r="A1260" s="8"/>
    </row>
    <row r="1261" spans="1:1" x14ac:dyDescent="0.25">
      <c r="A1261" s="8"/>
    </row>
    <row r="1262" spans="1:1" x14ac:dyDescent="0.25">
      <c r="A1262" s="8"/>
    </row>
    <row r="1263" spans="1:1" x14ac:dyDescent="0.25">
      <c r="A1263" s="8"/>
    </row>
    <row r="1264" spans="1:1" x14ac:dyDescent="0.25">
      <c r="A1264" s="8"/>
    </row>
    <row r="1265" spans="1:1" x14ac:dyDescent="0.25">
      <c r="A1265" s="8"/>
    </row>
    <row r="1266" spans="1:1" x14ac:dyDescent="0.25">
      <c r="A1266" s="8"/>
    </row>
    <row r="1267" spans="1:1" x14ac:dyDescent="0.25">
      <c r="A1267" s="8"/>
    </row>
    <row r="1268" spans="1:1" x14ac:dyDescent="0.25">
      <c r="A1268" s="8"/>
    </row>
    <row r="1269" spans="1:1" x14ac:dyDescent="0.25">
      <c r="A1269" s="8"/>
    </row>
    <row r="1270" spans="1:1" x14ac:dyDescent="0.25">
      <c r="A1270" s="8"/>
    </row>
    <row r="1271" spans="1:1" x14ac:dyDescent="0.25">
      <c r="A1271" s="8"/>
    </row>
    <row r="1272" spans="1:1" x14ac:dyDescent="0.25">
      <c r="A1272" s="8"/>
    </row>
    <row r="1273" spans="1:1" x14ac:dyDescent="0.25">
      <c r="A1273" s="8"/>
    </row>
    <row r="1274" spans="1:1" x14ac:dyDescent="0.25">
      <c r="A1274" s="8"/>
    </row>
    <row r="1275" spans="1:1" x14ac:dyDescent="0.25">
      <c r="A1275" s="8"/>
    </row>
    <row r="1276" spans="1:1" x14ac:dyDescent="0.25">
      <c r="A1276" s="8"/>
    </row>
    <row r="1277" spans="1:1" x14ac:dyDescent="0.25">
      <c r="A1277" s="8"/>
    </row>
    <row r="1278" spans="1:1" x14ac:dyDescent="0.25">
      <c r="A1278" s="8"/>
    </row>
    <row r="1279" spans="1:1" x14ac:dyDescent="0.25">
      <c r="A1279" s="8"/>
    </row>
    <row r="1280" spans="1:1" x14ac:dyDescent="0.25">
      <c r="A1280" s="8"/>
    </row>
    <row r="1281" spans="1:1" x14ac:dyDescent="0.25">
      <c r="A1281" s="8"/>
    </row>
    <row r="1282" spans="1:1" x14ac:dyDescent="0.25">
      <c r="A1282" s="8"/>
    </row>
    <row r="1283" spans="1:1" x14ac:dyDescent="0.25">
      <c r="A1283" s="8"/>
    </row>
    <row r="1284" spans="1:1" x14ac:dyDescent="0.25">
      <c r="A1284" s="8"/>
    </row>
    <row r="1285" spans="1:1" x14ac:dyDescent="0.25">
      <c r="A1285" s="8"/>
    </row>
    <row r="1286" spans="1:1" x14ac:dyDescent="0.25">
      <c r="A1286" s="8"/>
    </row>
    <row r="1287" spans="1:1" x14ac:dyDescent="0.25">
      <c r="A1287" s="8"/>
    </row>
    <row r="1288" spans="1:1" x14ac:dyDescent="0.25">
      <c r="A1288" s="8"/>
    </row>
    <row r="1289" spans="1:1" x14ac:dyDescent="0.25">
      <c r="A1289" s="8"/>
    </row>
    <row r="1290" spans="1:1" x14ac:dyDescent="0.25">
      <c r="A1290" s="8"/>
    </row>
    <row r="1291" spans="1:1" x14ac:dyDescent="0.25">
      <c r="A1291" s="8"/>
    </row>
    <row r="1292" spans="1:1" x14ac:dyDescent="0.25">
      <c r="A1292" s="8"/>
    </row>
    <row r="1293" spans="1:1" x14ac:dyDescent="0.25">
      <c r="A1293" s="8"/>
    </row>
    <row r="1294" spans="1:1" x14ac:dyDescent="0.25">
      <c r="A1294" s="8"/>
    </row>
    <row r="1295" spans="1:1" x14ac:dyDescent="0.25">
      <c r="A1295" s="8"/>
    </row>
    <row r="1296" spans="1:1" x14ac:dyDescent="0.25">
      <c r="A1296" s="8"/>
    </row>
    <row r="1297" spans="1:1" x14ac:dyDescent="0.25">
      <c r="A1297" s="8"/>
    </row>
    <row r="1298" spans="1:1" x14ac:dyDescent="0.25">
      <c r="A1298" s="8"/>
    </row>
    <row r="1299" spans="1:1" x14ac:dyDescent="0.25">
      <c r="A1299" s="8"/>
    </row>
    <row r="1300" spans="1:1" x14ac:dyDescent="0.25">
      <c r="A1300" s="8"/>
    </row>
    <row r="1301" spans="1:1" x14ac:dyDescent="0.25">
      <c r="A1301" s="8"/>
    </row>
    <row r="1302" spans="1:1" x14ac:dyDescent="0.25">
      <c r="A1302" s="8"/>
    </row>
    <row r="1303" spans="1:1" x14ac:dyDescent="0.25">
      <c r="A1303" s="8"/>
    </row>
    <row r="1304" spans="1:1" x14ac:dyDescent="0.25">
      <c r="A1304" s="8"/>
    </row>
    <row r="1305" spans="1:1" x14ac:dyDescent="0.25">
      <c r="A1305" s="8"/>
    </row>
    <row r="1306" spans="1:1" x14ac:dyDescent="0.25">
      <c r="A1306" s="8"/>
    </row>
    <row r="1307" spans="1:1" x14ac:dyDescent="0.25">
      <c r="A1307" s="8"/>
    </row>
    <row r="1308" spans="1:1" x14ac:dyDescent="0.25">
      <c r="A1308" s="8"/>
    </row>
    <row r="1309" spans="1:1" x14ac:dyDescent="0.25">
      <c r="A1309" s="8"/>
    </row>
    <row r="1310" spans="1:1" x14ac:dyDescent="0.25">
      <c r="A1310" s="8"/>
    </row>
    <row r="1311" spans="1:1" x14ac:dyDescent="0.25">
      <c r="A1311" s="8"/>
    </row>
    <row r="1312" spans="1:1" x14ac:dyDescent="0.25">
      <c r="A1312" s="8"/>
    </row>
    <row r="1313" spans="1:1" x14ac:dyDescent="0.25">
      <c r="A1313" s="8"/>
    </row>
    <row r="1314" spans="1:1" x14ac:dyDescent="0.25">
      <c r="A1314" s="8"/>
    </row>
    <row r="1315" spans="1:1" x14ac:dyDescent="0.25">
      <c r="A1315" s="8"/>
    </row>
    <row r="1316" spans="1:1" x14ac:dyDescent="0.25">
      <c r="A1316" s="8"/>
    </row>
    <row r="1317" spans="1:1" x14ac:dyDescent="0.25">
      <c r="A1317" s="8"/>
    </row>
    <row r="1318" spans="1:1" x14ac:dyDescent="0.25">
      <c r="A1318" s="8"/>
    </row>
    <row r="1319" spans="1:1" x14ac:dyDescent="0.25">
      <c r="A1319" s="8"/>
    </row>
    <row r="1320" spans="1:1" x14ac:dyDescent="0.25">
      <c r="A1320" s="8"/>
    </row>
    <row r="1321" spans="1:1" x14ac:dyDescent="0.25">
      <c r="A1321" s="8"/>
    </row>
    <row r="1322" spans="1:1" x14ac:dyDescent="0.25">
      <c r="A1322" s="8"/>
    </row>
    <row r="1323" spans="1:1" x14ac:dyDescent="0.25">
      <c r="A1323" s="8"/>
    </row>
    <row r="1324" spans="1:1" x14ac:dyDescent="0.25">
      <c r="A1324" s="8"/>
    </row>
    <row r="1325" spans="1:1" x14ac:dyDescent="0.25">
      <c r="A1325" s="8"/>
    </row>
    <row r="1326" spans="1:1" x14ac:dyDescent="0.25">
      <c r="A1326" s="8"/>
    </row>
    <row r="1327" spans="1:1" x14ac:dyDescent="0.25">
      <c r="A1327" s="8"/>
    </row>
    <row r="1328" spans="1:1" x14ac:dyDescent="0.25">
      <c r="A1328" s="8"/>
    </row>
    <row r="1329" spans="1:1" x14ac:dyDescent="0.25">
      <c r="A1329" s="8"/>
    </row>
    <row r="1330" spans="1:1" x14ac:dyDescent="0.25">
      <c r="A1330" s="8"/>
    </row>
    <row r="1331" spans="1:1" x14ac:dyDescent="0.25">
      <c r="A1331" s="8"/>
    </row>
    <row r="1332" spans="1:1" x14ac:dyDescent="0.25">
      <c r="A1332" s="8"/>
    </row>
    <row r="1333" spans="1:1" x14ac:dyDescent="0.25">
      <c r="A1333" s="8"/>
    </row>
    <row r="1334" spans="1:1" x14ac:dyDescent="0.25">
      <c r="A1334" s="8"/>
    </row>
    <row r="1335" spans="1:1" x14ac:dyDescent="0.25">
      <c r="A1335" s="8"/>
    </row>
    <row r="1336" spans="1:1" x14ac:dyDescent="0.25">
      <c r="A1336" s="8"/>
    </row>
    <row r="1337" spans="1:1" x14ac:dyDescent="0.25">
      <c r="A1337" s="8"/>
    </row>
    <row r="1338" spans="1:1" x14ac:dyDescent="0.25">
      <c r="A1338" s="8"/>
    </row>
    <row r="1339" spans="1:1" x14ac:dyDescent="0.25">
      <c r="A1339" s="8"/>
    </row>
    <row r="1340" spans="1:1" x14ac:dyDescent="0.25">
      <c r="A1340" s="8"/>
    </row>
    <row r="1341" spans="1:1" x14ac:dyDescent="0.25">
      <c r="A1341" s="8"/>
    </row>
    <row r="1342" spans="1:1" x14ac:dyDescent="0.25">
      <c r="A1342" s="8"/>
    </row>
    <row r="1343" spans="1:1" x14ac:dyDescent="0.25">
      <c r="A1343" s="8"/>
    </row>
    <row r="1344" spans="1:1" x14ac:dyDescent="0.25">
      <c r="A1344" s="8"/>
    </row>
    <row r="1345" spans="1:1" x14ac:dyDescent="0.25">
      <c r="A1345" s="8"/>
    </row>
    <row r="1346" spans="1:1" x14ac:dyDescent="0.25">
      <c r="A1346" s="8"/>
    </row>
    <row r="1347" spans="1:1" x14ac:dyDescent="0.25">
      <c r="A1347" s="8"/>
    </row>
    <row r="1348" spans="1:1" x14ac:dyDescent="0.25">
      <c r="A1348" s="8"/>
    </row>
    <row r="1349" spans="1:1" x14ac:dyDescent="0.25">
      <c r="A1349" s="8"/>
    </row>
    <row r="1350" spans="1:1" x14ac:dyDescent="0.25">
      <c r="A1350" s="8"/>
    </row>
    <row r="1351" spans="1:1" x14ac:dyDescent="0.25">
      <c r="A1351" s="8"/>
    </row>
    <row r="1352" spans="1:1" x14ac:dyDescent="0.25">
      <c r="A1352" s="8"/>
    </row>
    <row r="1353" spans="1:1" x14ac:dyDescent="0.25">
      <c r="A1353" s="8"/>
    </row>
    <row r="1354" spans="1:1" x14ac:dyDescent="0.25">
      <c r="A1354" s="8"/>
    </row>
    <row r="1355" spans="1:1" x14ac:dyDescent="0.25">
      <c r="A1355" s="8"/>
    </row>
    <row r="1356" spans="1:1" x14ac:dyDescent="0.25">
      <c r="A1356" s="8"/>
    </row>
    <row r="1357" spans="1:1" x14ac:dyDescent="0.25">
      <c r="A1357" s="8"/>
    </row>
    <row r="1358" spans="1:1" x14ac:dyDescent="0.25">
      <c r="A1358" s="8"/>
    </row>
    <row r="1359" spans="1:1" x14ac:dyDescent="0.25">
      <c r="A1359" s="8"/>
    </row>
    <row r="1360" spans="1:1" x14ac:dyDescent="0.25">
      <c r="A1360" s="8"/>
    </row>
    <row r="1361" spans="1:1" x14ac:dyDescent="0.25">
      <c r="A1361" s="8"/>
    </row>
    <row r="1362" spans="1:1" x14ac:dyDescent="0.25">
      <c r="A1362" s="8"/>
    </row>
    <row r="1363" spans="1:1" x14ac:dyDescent="0.25">
      <c r="A1363" s="8"/>
    </row>
    <row r="1364" spans="1:1" x14ac:dyDescent="0.25">
      <c r="A1364" s="8"/>
    </row>
    <row r="1365" spans="1:1" x14ac:dyDescent="0.25">
      <c r="A1365" s="8"/>
    </row>
    <row r="1366" spans="1:1" x14ac:dyDescent="0.25">
      <c r="A1366" s="8"/>
    </row>
    <row r="1367" spans="1:1" x14ac:dyDescent="0.25">
      <c r="A1367" s="8"/>
    </row>
    <row r="1368" spans="1:1" x14ac:dyDescent="0.25">
      <c r="A1368" s="8"/>
    </row>
    <row r="1369" spans="1:1" x14ac:dyDescent="0.25">
      <c r="A1369" s="8"/>
    </row>
    <row r="1370" spans="1:1" x14ac:dyDescent="0.25">
      <c r="A1370" s="8"/>
    </row>
    <row r="1371" spans="1:1" x14ac:dyDescent="0.25">
      <c r="A1371" s="8"/>
    </row>
    <row r="1372" spans="1:1" x14ac:dyDescent="0.25">
      <c r="A1372" s="8"/>
    </row>
    <row r="1373" spans="1:1" x14ac:dyDescent="0.25">
      <c r="A1373" s="8"/>
    </row>
    <row r="1374" spans="1:1" x14ac:dyDescent="0.25">
      <c r="A1374" s="8"/>
    </row>
    <row r="1375" spans="1:1" x14ac:dyDescent="0.25">
      <c r="A1375" s="8"/>
    </row>
    <row r="1376" spans="1:1" x14ac:dyDescent="0.25">
      <c r="A1376" s="8"/>
    </row>
    <row r="1377" spans="1:1" x14ac:dyDescent="0.25">
      <c r="A1377" s="8"/>
    </row>
    <row r="1378" spans="1:1" x14ac:dyDescent="0.25">
      <c r="A1378" s="8"/>
    </row>
    <row r="1379" spans="1:1" x14ac:dyDescent="0.25">
      <c r="A1379" s="8"/>
    </row>
    <row r="1380" spans="1:1" x14ac:dyDescent="0.25">
      <c r="A1380" s="8"/>
    </row>
    <row r="1381" spans="1:1" x14ac:dyDescent="0.25">
      <c r="A1381" s="8"/>
    </row>
    <row r="1382" spans="1:1" x14ac:dyDescent="0.25">
      <c r="A1382" s="8"/>
    </row>
    <row r="1383" spans="1:1" x14ac:dyDescent="0.25">
      <c r="A1383" s="8"/>
    </row>
    <row r="1384" spans="1:1" x14ac:dyDescent="0.25">
      <c r="A1384" s="8"/>
    </row>
    <row r="1385" spans="1:1" x14ac:dyDescent="0.25">
      <c r="A1385" s="8"/>
    </row>
    <row r="1386" spans="1:1" x14ac:dyDescent="0.25">
      <c r="A1386" s="8"/>
    </row>
    <row r="1387" spans="1:1" x14ac:dyDescent="0.25">
      <c r="A1387" s="8"/>
    </row>
    <row r="1388" spans="1:1" x14ac:dyDescent="0.25">
      <c r="A1388" s="8"/>
    </row>
    <row r="1389" spans="1:1" x14ac:dyDescent="0.25">
      <c r="A1389" s="8"/>
    </row>
    <row r="1390" spans="1:1" x14ac:dyDescent="0.25">
      <c r="A1390" s="8"/>
    </row>
    <row r="1391" spans="1:1" x14ac:dyDescent="0.25">
      <c r="A1391" s="8"/>
    </row>
    <row r="1392" spans="1:1" x14ac:dyDescent="0.25">
      <c r="A1392" s="8"/>
    </row>
    <row r="1393" spans="1:1" x14ac:dyDescent="0.25">
      <c r="A1393" s="8"/>
    </row>
    <row r="1394" spans="1:1" x14ac:dyDescent="0.25">
      <c r="A1394" s="8"/>
    </row>
    <row r="1395" spans="1:1" x14ac:dyDescent="0.25">
      <c r="A1395" s="8"/>
    </row>
    <row r="1396" spans="1:1" x14ac:dyDescent="0.25">
      <c r="A1396" s="8"/>
    </row>
    <row r="1397" spans="1:1" x14ac:dyDescent="0.25">
      <c r="A1397" s="8"/>
    </row>
    <row r="1398" spans="1:1" x14ac:dyDescent="0.25">
      <c r="A1398" s="8"/>
    </row>
    <row r="1399" spans="1:1" x14ac:dyDescent="0.25">
      <c r="A1399" s="8"/>
    </row>
    <row r="1400" spans="1:1" x14ac:dyDescent="0.25">
      <c r="A1400" s="8"/>
    </row>
    <row r="1401" spans="1:1" x14ac:dyDescent="0.25">
      <c r="A1401" s="8"/>
    </row>
    <row r="1402" spans="1:1" x14ac:dyDescent="0.25">
      <c r="A1402" s="8"/>
    </row>
    <row r="1403" spans="1:1" x14ac:dyDescent="0.25">
      <c r="A1403" s="8"/>
    </row>
    <row r="1404" spans="1:1" x14ac:dyDescent="0.25">
      <c r="A1404" s="8"/>
    </row>
    <row r="1405" spans="1:1" x14ac:dyDescent="0.25">
      <c r="A1405" s="8"/>
    </row>
    <row r="1406" spans="1:1" x14ac:dyDescent="0.25">
      <c r="A1406" s="8"/>
    </row>
    <row r="1407" spans="1:1" x14ac:dyDescent="0.25">
      <c r="A1407" s="8"/>
    </row>
    <row r="1408" spans="1:1" x14ac:dyDescent="0.25">
      <c r="A1408" s="8"/>
    </row>
    <row r="1409" spans="1:1" x14ac:dyDescent="0.25">
      <c r="A1409" s="8"/>
    </row>
    <row r="1410" spans="1:1" x14ac:dyDescent="0.25">
      <c r="A1410" s="8"/>
    </row>
    <row r="1411" spans="1:1" x14ac:dyDescent="0.25">
      <c r="A1411" s="8"/>
    </row>
    <row r="1412" spans="1:1" x14ac:dyDescent="0.25">
      <c r="A1412" s="8"/>
    </row>
    <row r="1413" spans="1:1" x14ac:dyDescent="0.25">
      <c r="A1413" s="8"/>
    </row>
    <row r="1414" spans="1:1" x14ac:dyDescent="0.25">
      <c r="A1414" s="8"/>
    </row>
    <row r="1415" spans="1:1" x14ac:dyDescent="0.25">
      <c r="A1415" s="8"/>
    </row>
    <row r="1416" spans="1:1" x14ac:dyDescent="0.25">
      <c r="A1416" s="8"/>
    </row>
    <row r="1417" spans="1:1" x14ac:dyDescent="0.25">
      <c r="A1417" s="8"/>
    </row>
    <row r="1418" spans="1:1" x14ac:dyDescent="0.25">
      <c r="A1418" s="8"/>
    </row>
    <row r="1419" spans="1:1" x14ac:dyDescent="0.25">
      <c r="A1419" s="8"/>
    </row>
    <row r="1420" spans="1:1" x14ac:dyDescent="0.25">
      <c r="A1420" s="8"/>
    </row>
    <row r="1421" spans="1:1" x14ac:dyDescent="0.25">
      <c r="A1421" s="8"/>
    </row>
    <row r="1422" spans="1:1" x14ac:dyDescent="0.25">
      <c r="A1422" s="8"/>
    </row>
    <row r="1423" spans="1:1" x14ac:dyDescent="0.25">
      <c r="A1423" s="8"/>
    </row>
    <row r="1424" spans="1:1" x14ac:dyDescent="0.25">
      <c r="A1424" s="8"/>
    </row>
    <row r="1425" spans="1:1" x14ac:dyDescent="0.25">
      <c r="A1425" s="8"/>
    </row>
    <row r="1426" spans="1:1" x14ac:dyDescent="0.25">
      <c r="A1426" s="8"/>
    </row>
    <row r="1427" spans="1:1" x14ac:dyDescent="0.25">
      <c r="A1427" s="8"/>
    </row>
    <row r="1428" spans="1:1" x14ac:dyDescent="0.25">
      <c r="A1428" s="8"/>
    </row>
    <row r="1429" spans="1:1" x14ac:dyDescent="0.25">
      <c r="A1429" s="8"/>
    </row>
    <row r="1430" spans="1:1" x14ac:dyDescent="0.25">
      <c r="A1430" s="8"/>
    </row>
    <row r="1431" spans="1:1" x14ac:dyDescent="0.25">
      <c r="A1431" s="8"/>
    </row>
    <row r="1432" spans="1:1" x14ac:dyDescent="0.25">
      <c r="A1432" s="8"/>
    </row>
    <row r="1433" spans="1:1" x14ac:dyDescent="0.25">
      <c r="A1433" s="8"/>
    </row>
    <row r="1434" spans="1:1" x14ac:dyDescent="0.25">
      <c r="A1434" s="8"/>
    </row>
    <row r="1435" spans="1:1" x14ac:dyDescent="0.25">
      <c r="A1435" s="8"/>
    </row>
    <row r="1436" spans="1:1" x14ac:dyDescent="0.25">
      <c r="A1436" s="8"/>
    </row>
    <row r="1437" spans="1:1" x14ac:dyDescent="0.25">
      <c r="A1437" s="8"/>
    </row>
    <row r="1438" spans="1:1" x14ac:dyDescent="0.25">
      <c r="A1438" s="8"/>
    </row>
    <row r="1439" spans="1:1" x14ac:dyDescent="0.25">
      <c r="A1439" s="8"/>
    </row>
    <row r="1440" spans="1:1" x14ac:dyDescent="0.25">
      <c r="A1440" s="8"/>
    </row>
    <row r="1441" spans="1:1" x14ac:dyDescent="0.25">
      <c r="A1441" s="8"/>
    </row>
    <row r="1442" spans="1:1" x14ac:dyDescent="0.25">
      <c r="A1442" s="8"/>
    </row>
    <row r="1443" spans="1:1" x14ac:dyDescent="0.25">
      <c r="A1443" s="8"/>
    </row>
    <row r="1444" spans="1:1" x14ac:dyDescent="0.25">
      <c r="A1444" s="8"/>
    </row>
    <row r="1445" spans="1:1" x14ac:dyDescent="0.25">
      <c r="A1445" s="8"/>
    </row>
    <row r="1446" spans="1:1" x14ac:dyDescent="0.25">
      <c r="A1446" s="8"/>
    </row>
    <row r="1447" spans="1:1" x14ac:dyDescent="0.25">
      <c r="A1447" s="8"/>
    </row>
    <row r="1448" spans="1:1" x14ac:dyDescent="0.25">
      <c r="A1448" s="8"/>
    </row>
    <row r="1449" spans="1:1" x14ac:dyDescent="0.25">
      <c r="A1449" s="8"/>
    </row>
    <row r="1450" spans="1:1" x14ac:dyDescent="0.25">
      <c r="A1450" s="8"/>
    </row>
    <row r="1451" spans="1:1" x14ac:dyDescent="0.25">
      <c r="A1451" s="8"/>
    </row>
    <row r="1452" spans="1:1" x14ac:dyDescent="0.25">
      <c r="A1452" s="8"/>
    </row>
    <row r="1453" spans="1:1" x14ac:dyDescent="0.25">
      <c r="A1453" s="8"/>
    </row>
    <row r="1454" spans="1:1" x14ac:dyDescent="0.25">
      <c r="A1454" s="8"/>
    </row>
    <row r="1455" spans="1:1" x14ac:dyDescent="0.25">
      <c r="A1455" s="8"/>
    </row>
    <row r="1456" spans="1:1" x14ac:dyDescent="0.25">
      <c r="A1456" s="8"/>
    </row>
    <row r="1457" spans="1:1" x14ac:dyDescent="0.25">
      <c r="A1457" s="8"/>
    </row>
    <row r="1458" spans="1:1" x14ac:dyDescent="0.25">
      <c r="A1458" s="8"/>
    </row>
    <row r="1459" spans="1:1" x14ac:dyDescent="0.25">
      <c r="A1459" s="8"/>
    </row>
    <row r="1460" spans="1:1" x14ac:dyDescent="0.25">
      <c r="A1460" s="8"/>
    </row>
    <row r="1461" spans="1:1" x14ac:dyDescent="0.25">
      <c r="A1461" s="8"/>
    </row>
    <row r="1462" spans="1:1" x14ac:dyDescent="0.25">
      <c r="A1462" s="8"/>
    </row>
    <row r="1463" spans="1:1" x14ac:dyDescent="0.25">
      <c r="A1463" s="8"/>
    </row>
    <row r="1464" spans="1:1" x14ac:dyDescent="0.25">
      <c r="A1464" s="8"/>
    </row>
    <row r="1465" spans="1:1" x14ac:dyDescent="0.25">
      <c r="A1465" s="8"/>
    </row>
    <row r="1466" spans="1:1" x14ac:dyDescent="0.25">
      <c r="A1466" s="8"/>
    </row>
    <row r="1467" spans="1:1" x14ac:dyDescent="0.25">
      <c r="A1467" s="8"/>
    </row>
    <row r="1468" spans="1:1" x14ac:dyDescent="0.25">
      <c r="A1468" s="8"/>
    </row>
    <row r="1469" spans="1:1" x14ac:dyDescent="0.25">
      <c r="A1469" s="8"/>
    </row>
    <row r="1470" spans="1:1" x14ac:dyDescent="0.25">
      <c r="A1470" s="8"/>
    </row>
    <row r="1471" spans="1:1" x14ac:dyDescent="0.25">
      <c r="A1471" s="8"/>
    </row>
    <row r="1472" spans="1:1" x14ac:dyDescent="0.25">
      <c r="A1472" s="8"/>
    </row>
    <row r="1473" spans="1:1" x14ac:dyDescent="0.25">
      <c r="A1473" s="8"/>
    </row>
    <row r="1474" spans="1:1" x14ac:dyDescent="0.25">
      <c r="A1474" s="8"/>
    </row>
    <row r="1475" spans="1:1" x14ac:dyDescent="0.25">
      <c r="A1475" s="8"/>
    </row>
    <row r="1476" spans="1:1" x14ac:dyDescent="0.25">
      <c r="A1476" s="8"/>
    </row>
    <row r="1477" spans="1:1" x14ac:dyDescent="0.25">
      <c r="A1477" s="8"/>
    </row>
    <row r="1478" spans="1:1" x14ac:dyDescent="0.25">
      <c r="A1478" s="8"/>
    </row>
    <row r="1479" spans="1:1" x14ac:dyDescent="0.25">
      <c r="A1479" s="8"/>
    </row>
    <row r="1480" spans="1:1" x14ac:dyDescent="0.25">
      <c r="A1480" s="8"/>
    </row>
    <row r="1481" spans="1:1" x14ac:dyDescent="0.25">
      <c r="A1481" s="8"/>
    </row>
    <row r="1482" spans="1:1" x14ac:dyDescent="0.25">
      <c r="A1482" s="8"/>
    </row>
    <row r="1483" spans="1:1" x14ac:dyDescent="0.25">
      <c r="A1483" s="8"/>
    </row>
    <row r="1484" spans="1:1" x14ac:dyDescent="0.25">
      <c r="A1484" s="8"/>
    </row>
    <row r="1485" spans="1:1" x14ac:dyDescent="0.25">
      <c r="A1485" s="8"/>
    </row>
    <row r="1486" spans="1:1" x14ac:dyDescent="0.25">
      <c r="A1486" s="8"/>
    </row>
    <row r="1487" spans="1:1" x14ac:dyDescent="0.25">
      <c r="A1487" s="8"/>
    </row>
    <row r="1488" spans="1:1" x14ac:dyDescent="0.25">
      <c r="A1488" s="8"/>
    </row>
    <row r="1489" spans="1:1" x14ac:dyDescent="0.25">
      <c r="A1489" s="8"/>
    </row>
    <row r="1490" spans="1:1" x14ac:dyDescent="0.25">
      <c r="A1490" s="8"/>
    </row>
    <row r="1491" spans="1:1" x14ac:dyDescent="0.25">
      <c r="A1491" s="8"/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4B2E3-2AF0-45B9-8A2A-92828813B378}">
  <dimension ref="A1:N1491"/>
  <sheetViews>
    <sheetView tabSelected="1" topLeftCell="B4" workbookViewId="0">
      <selection activeCell="H19" sqref="H19"/>
    </sheetView>
  </sheetViews>
  <sheetFormatPr defaultRowHeight="15" x14ac:dyDescent="0.25"/>
  <cols>
    <col min="1" max="1" width="18.85546875" customWidth="1"/>
    <col min="4" max="4" width="10.7109375" bestFit="1" customWidth="1"/>
    <col min="6" max="6" width="14.140625" customWidth="1"/>
    <col min="7" max="7" width="13.5703125" customWidth="1"/>
    <col min="8" max="8" width="13.140625" customWidth="1"/>
  </cols>
  <sheetData>
    <row r="1" spans="1:13" x14ac:dyDescent="0.25">
      <c r="E1" s="6" t="s">
        <v>48</v>
      </c>
      <c r="K1" s="6" t="s">
        <v>52</v>
      </c>
    </row>
    <row r="2" spans="1:13" x14ac:dyDescent="0.25">
      <c r="E2" s="6" t="s">
        <v>2</v>
      </c>
      <c r="F2" s="6" t="s">
        <v>3</v>
      </c>
      <c r="G2" s="6" t="s">
        <v>45</v>
      </c>
      <c r="H2" s="6" t="s">
        <v>46</v>
      </c>
      <c r="I2" s="6" t="s">
        <v>6</v>
      </c>
      <c r="K2" s="5" t="s">
        <v>2</v>
      </c>
      <c r="L2" s="6" t="s">
        <v>3</v>
      </c>
    </row>
    <row r="3" spans="1:13" x14ac:dyDescent="0.25">
      <c r="A3" s="8"/>
      <c r="D3" s="7">
        <v>42644</v>
      </c>
      <c r="E3" s="20">
        <v>2520</v>
      </c>
      <c r="F3">
        <v>0</v>
      </c>
      <c r="G3">
        <f>(E3-F3)^2</f>
        <v>6350400</v>
      </c>
      <c r="H3">
        <f>(E3-$E$34)^2</f>
        <v>165603688.76170653</v>
      </c>
      <c r="I3">
        <f>F3-E3</f>
        <v>-2520</v>
      </c>
      <c r="J3">
        <v>8.0000000000000002E-3</v>
      </c>
      <c r="K3">
        <f>0.028317*E3</f>
        <v>71.358840000000001</v>
      </c>
      <c r="L3">
        <f>0.028317*F3</f>
        <v>0</v>
      </c>
      <c r="M3" s="21">
        <v>0</v>
      </c>
    </row>
    <row r="4" spans="1:13" x14ac:dyDescent="0.25">
      <c r="A4" s="8"/>
      <c r="D4" s="7">
        <v>42645</v>
      </c>
      <c r="E4" s="20">
        <v>2660</v>
      </c>
      <c r="F4">
        <v>0</v>
      </c>
      <c r="G4">
        <f t="shared" ref="G4:G33" si="0">(E4-F4)^2</f>
        <v>7075600</v>
      </c>
      <c r="H4">
        <f t="shared" ref="H4:H33" si="1">(E4-$E$34)^2</f>
        <v>162020050.05202913</v>
      </c>
      <c r="I4">
        <f t="shared" ref="I4:I10" si="2">F4-E4</f>
        <v>-2660</v>
      </c>
      <c r="J4">
        <v>0</v>
      </c>
      <c r="K4">
        <f t="shared" ref="K4:L33" si="3">0.028317*E4</f>
        <v>75.323219999999992</v>
      </c>
      <c r="L4">
        <f t="shared" si="3"/>
        <v>0</v>
      </c>
      <c r="M4" s="21">
        <v>0</v>
      </c>
    </row>
    <row r="5" spans="1:13" x14ac:dyDescent="0.25">
      <c r="A5" s="8"/>
      <c r="D5" s="7">
        <v>42646</v>
      </c>
      <c r="E5" s="20">
        <v>2810</v>
      </c>
      <c r="F5">
        <v>0</v>
      </c>
      <c r="G5">
        <f t="shared" si="0"/>
        <v>7896100</v>
      </c>
      <c r="H5">
        <f t="shared" si="1"/>
        <v>158223937.14880332</v>
      </c>
      <c r="I5">
        <f t="shared" si="2"/>
        <v>-2810</v>
      </c>
      <c r="J5">
        <v>0</v>
      </c>
      <c r="K5">
        <f t="shared" si="3"/>
        <v>79.570769999999996</v>
      </c>
      <c r="L5">
        <f t="shared" si="3"/>
        <v>0</v>
      </c>
      <c r="M5" s="21">
        <v>0</v>
      </c>
    </row>
    <row r="6" spans="1:13" x14ac:dyDescent="0.25">
      <c r="A6" s="8"/>
      <c r="D6" s="7">
        <v>42647</v>
      </c>
      <c r="E6" s="20">
        <v>2840</v>
      </c>
      <c r="F6">
        <v>656</v>
      </c>
      <c r="G6">
        <f t="shared" si="0"/>
        <v>4769856</v>
      </c>
      <c r="H6">
        <f t="shared" si="1"/>
        <v>157470114.56815815</v>
      </c>
      <c r="I6">
        <f t="shared" si="2"/>
        <v>-2184</v>
      </c>
      <c r="J6">
        <v>0</v>
      </c>
      <c r="K6">
        <f t="shared" si="3"/>
        <v>80.420279999999991</v>
      </c>
      <c r="L6">
        <f t="shared" si="3"/>
        <v>18.575951999999997</v>
      </c>
      <c r="M6" s="21">
        <v>0</v>
      </c>
    </row>
    <row r="7" spans="1:13" x14ac:dyDescent="0.25">
      <c r="A7" s="8"/>
      <c r="D7" s="7">
        <v>42648</v>
      </c>
      <c r="E7" s="20">
        <v>2680</v>
      </c>
      <c r="F7">
        <v>1453</v>
      </c>
      <c r="G7">
        <f t="shared" si="0"/>
        <v>1505529</v>
      </c>
      <c r="H7">
        <f t="shared" si="1"/>
        <v>161511301.66493234</v>
      </c>
      <c r="I7">
        <f t="shared" si="2"/>
        <v>-1227</v>
      </c>
      <c r="J7">
        <v>1.7999999999999999E-2</v>
      </c>
      <c r="K7">
        <f t="shared" si="3"/>
        <v>75.889559999999989</v>
      </c>
      <c r="L7">
        <f t="shared" si="3"/>
        <v>41.144600999999994</v>
      </c>
      <c r="M7" s="21">
        <v>0</v>
      </c>
    </row>
    <row r="8" spans="1:13" x14ac:dyDescent="0.25">
      <c r="A8" s="8"/>
      <c r="D8" s="7">
        <v>42649</v>
      </c>
      <c r="E8" s="20">
        <v>1960</v>
      </c>
      <c r="F8">
        <v>8420</v>
      </c>
      <c r="G8">
        <f t="shared" si="0"/>
        <v>41731600</v>
      </c>
      <c r="H8">
        <f t="shared" si="1"/>
        <v>180330243.60041621</v>
      </c>
      <c r="I8">
        <f t="shared" si="2"/>
        <v>6460</v>
      </c>
      <c r="J8">
        <v>2.5999999999999999E-2</v>
      </c>
      <c r="K8">
        <f t="shared" si="3"/>
        <v>55.50132</v>
      </c>
      <c r="L8">
        <f t="shared" si="3"/>
        <v>238.42913999999999</v>
      </c>
      <c r="M8" s="21">
        <v>0</v>
      </c>
    </row>
    <row r="9" spans="1:13" x14ac:dyDescent="0.25">
      <c r="A9" s="8"/>
      <c r="D9" s="7">
        <v>42650</v>
      </c>
      <c r="E9" s="20">
        <v>1570</v>
      </c>
      <c r="F9">
        <v>11530</v>
      </c>
      <c r="G9">
        <f t="shared" si="0"/>
        <v>99201600</v>
      </c>
      <c r="H9">
        <f t="shared" si="1"/>
        <v>190956737.14880332</v>
      </c>
      <c r="I9">
        <f t="shared" si="2"/>
        <v>9960</v>
      </c>
      <c r="J9">
        <v>2.2210000000000001</v>
      </c>
      <c r="K9">
        <f t="shared" si="3"/>
        <v>44.457689999999999</v>
      </c>
      <c r="L9">
        <f t="shared" si="3"/>
        <v>326.49500999999998</v>
      </c>
      <c r="M9" s="21">
        <v>0</v>
      </c>
    </row>
    <row r="10" spans="1:13" x14ac:dyDescent="0.25">
      <c r="A10" s="8"/>
      <c r="D10" s="7">
        <v>42651</v>
      </c>
      <c r="E10" s="20">
        <v>7660</v>
      </c>
      <c r="F10">
        <v>13420</v>
      </c>
      <c r="G10">
        <f t="shared" si="0"/>
        <v>33177600</v>
      </c>
      <c r="H10">
        <f t="shared" si="1"/>
        <v>59732953.277835578</v>
      </c>
      <c r="I10">
        <f t="shared" si="2"/>
        <v>5760</v>
      </c>
      <c r="J10">
        <v>5614.49</v>
      </c>
      <c r="K10">
        <f t="shared" si="3"/>
        <v>216.90822</v>
      </c>
      <c r="L10">
        <f t="shared" si="3"/>
        <v>380.01414</v>
      </c>
      <c r="M10" s="21">
        <v>2014.6690000000001</v>
      </c>
    </row>
    <row r="11" spans="1:13" x14ac:dyDescent="0.25">
      <c r="A11" s="8"/>
      <c r="D11" s="7">
        <v>42652</v>
      </c>
      <c r="E11" s="20">
        <v>21300</v>
      </c>
      <c r="F11">
        <v>19547</v>
      </c>
      <c r="G11">
        <f t="shared" si="0"/>
        <v>3073009</v>
      </c>
      <c r="H11">
        <f t="shared" si="1"/>
        <v>34943353.277835593</v>
      </c>
      <c r="I11">
        <f t="shared" ref="I11:I33" si="4">F13-E11</f>
        <v>12279</v>
      </c>
      <c r="J11">
        <v>44001.733999999997</v>
      </c>
      <c r="K11">
        <f t="shared" si="3"/>
        <v>603.15210000000002</v>
      </c>
      <c r="L11">
        <f t="shared" si="3"/>
        <v>553.51239899999996</v>
      </c>
      <c r="M11" s="21">
        <v>46298.16</v>
      </c>
    </row>
    <row r="12" spans="1:13" x14ac:dyDescent="0.25">
      <c r="A12" s="8"/>
      <c r="D12" s="7">
        <v>42653</v>
      </c>
      <c r="E12" s="20">
        <v>33400</v>
      </c>
      <c r="F12">
        <v>29042</v>
      </c>
      <c r="G12">
        <f t="shared" si="0"/>
        <v>18992164</v>
      </c>
      <c r="H12">
        <f t="shared" si="1"/>
        <v>324406579.08428717</v>
      </c>
      <c r="I12">
        <f t="shared" si="4"/>
        <v>12898.160000000003</v>
      </c>
      <c r="J12">
        <v>48852.57</v>
      </c>
      <c r="K12">
        <f t="shared" si="3"/>
        <v>945.78779999999995</v>
      </c>
      <c r="L12">
        <f t="shared" si="3"/>
        <v>822.38231399999995</v>
      </c>
      <c r="M12" s="21">
        <v>46275.703000000001</v>
      </c>
    </row>
    <row r="13" spans="1:13" x14ac:dyDescent="0.25">
      <c r="A13" s="8"/>
      <c r="D13" s="7">
        <v>42654</v>
      </c>
      <c r="E13" s="20">
        <v>40100</v>
      </c>
      <c r="F13">
        <v>33579</v>
      </c>
      <c r="G13">
        <f t="shared" si="0"/>
        <v>42523441</v>
      </c>
      <c r="H13">
        <f t="shared" si="1"/>
        <v>610647869.40686774</v>
      </c>
      <c r="I13">
        <f t="shared" si="4"/>
        <v>6175.7030000000013</v>
      </c>
      <c r="J13">
        <v>43439.796999999999</v>
      </c>
      <c r="K13">
        <f t="shared" si="3"/>
        <v>1135.5117</v>
      </c>
      <c r="L13">
        <f t="shared" si="3"/>
        <v>950.85654299999999</v>
      </c>
      <c r="M13" s="21">
        <v>44496.046999999999</v>
      </c>
    </row>
    <row r="14" spans="1:13" x14ac:dyDescent="0.25">
      <c r="A14" s="8"/>
      <c r="D14" s="7">
        <v>42655</v>
      </c>
      <c r="E14" s="20">
        <v>42100</v>
      </c>
      <c r="F14">
        <v>46298.16</v>
      </c>
      <c r="G14">
        <f t="shared" si="0"/>
        <v>17624547.38560003</v>
      </c>
      <c r="H14">
        <f t="shared" si="1"/>
        <v>713493030.6971904</v>
      </c>
      <c r="I14">
        <f t="shared" si="4"/>
        <v>2396.0469999999987</v>
      </c>
      <c r="J14">
        <v>28781.455000000002</v>
      </c>
      <c r="K14">
        <f t="shared" si="3"/>
        <v>1192.1457</v>
      </c>
      <c r="L14">
        <f t="shared" si="3"/>
        <v>1311.02499672</v>
      </c>
      <c r="M14" s="21">
        <v>34222.987999999998</v>
      </c>
    </row>
    <row r="15" spans="1:13" x14ac:dyDescent="0.25">
      <c r="A15" s="8"/>
      <c r="D15" s="7">
        <v>42656</v>
      </c>
      <c r="E15" s="20">
        <v>45200</v>
      </c>
      <c r="F15">
        <v>46275.703000000001</v>
      </c>
      <c r="G15">
        <f t="shared" si="0"/>
        <v>1157136.9442090029</v>
      </c>
      <c r="H15">
        <f t="shared" si="1"/>
        <v>888713030.6971904</v>
      </c>
      <c r="I15">
        <f t="shared" si="4"/>
        <v>-3044</v>
      </c>
      <c r="J15">
        <v>17257.615000000002</v>
      </c>
      <c r="K15">
        <f t="shared" si="3"/>
        <v>1279.9284</v>
      </c>
      <c r="L15">
        <f t="shared" si="3"/>
        <v>1310.3890818509999</v>
      </c>
      <c r="M15" s="21">
        <v>19952.373</v>
      </c>
    </row>
    <row r="16" spans="1:13" x14ac:dyDescent="0.25">
      <c r="A16" s="8"/>
      <c r="D16" s="7">
        <v>42657</v>
      </c>
      <c r="E16" s="20">
        <v>46200</v>
      </c>
      <c r="F16">
        <v>44496.046999999999</v>
      </c>
      <c r="G16">
        <f t="shared" si="0"/>
        <v>2903455.8262090045</v>
      </c>
      <c r="H16">
        <f t="shared" si="1"/>
        <v>949335611.34235168</v>
      </c>
      <c r="I16">
        <f t="shared" si="4"/>
        <v>-7491</v>
      </c>
      <c r="J16">
        <v>11147.83</v>
      </c>
      <c r="K16">
        <f t="shared" si="3"/>
        <v>1308.2454</v>
      </c>
      <c r="L16">
        <f t="shared" si="3"/>
        <v>1259.9945628989999</v>
      </c>
      <c r="M16" s="21">
        <v>10813.432000000001</v>
      </c>
    </row>
    <row r="17" spans="1:14" x14ac:dyDescent="0.25">
      <c r="A17" s="8"/>
      <c r="D17" s="7">
        <v>42658</v>
      </c>
      <c r="E17" s="20">
        <v>45000</v>
      </c>
      <c r="F17">
        <v>42156</v>
      </c>
      <c r="G17">
        <f t="shared" si="0"/>
        <v>8088336</v>
      </c>
      <c r="H17">
        <f t="shared" si="1"/>
        <v>876828514.56815815</v>
      </c>
      <c r="I17">
        <f t="shared" si="4"/>
        <v>-17954</v>
      </c>
      <c r="J17">
        <v>7611.585</v>
      </c>
      <c r="K17">
        <f t="shared" si="3"/>
        <v>1274.2649999999999</v>
      </c>
      <c r="L17">
        <f t="shared" si="3"/>
        <v>1193.731452</v>
      </c>
      <c r="M17" s="21">
        <v>6346.79</v>
      </c>
    </row>
    <row r="18" spans="1:14" x14ac:dyDescent="0.25">
      <c r="A18" s="8"/>
      <c r="D18" s="7">
        <v>42659</v>
      </c>
      <c r="E18" s="20">
        <v>42000</v>
      </c>
      <c r="F18">
        <v>38709</v>
      </c>
      <c r="G18">
        <f t="shared" si="0"/>
        <v>10830681</v>
      </c>
      <c r="H18">
        <f t="shared" si="1"/>
        <v>708160772.63267422</v>
      </c>
      <c r="I18">
        <f t="shared" si="4"/>
        <v>-19654</v>
      </c>
      <c r="J18">
        <v>4883.7759999999998</v>
      </c>
      <c r="K18">
        <f t="shared" si="3"/>
        <v>1189.3139999999999</v>
      </c>
      <c r="L18">
        <f t="shared" si="3"/>
        <v>1096.1227529999999</v>
      </c>
      <c r="M18" s="21">
        <v>3801.864</v>
      </c>
    </row>
    <row r="19" spans="1:14" x14ac:dyDescent="0.25">
      <c r="A19" s="8"/>
      <c r="D19" s="7">
        <v>42660</v>
      </c>
      <c r="E19" s="20">
        <v>36900</v>
      </c>
      <c r="F19">
        <v>27046</v>
      </c>
      <c r="G19">
        <f t="shared" si="0"/>
        <v>97101316</v>
      </c>
      <c r="H19">
        <f t="shared" si="1"/>
        <v>462735611.34235168</v>
      </c>
      <c r="I19">
        <f t="shared" si="4"/>
        <v>-36160.332000000002</v>
      </c>
      <c r="J19">
        <v>3164.7179999999998</v>
      </c>
      <c r="K19">
        <f t="shared" si="3"/>
        <v>1044.8972999999999</v>
      </c>
      <c r="L19">
        <f t="shared" si="3"/>
        <v>765.861582</v>
      </c>
      <c r="M19" s="21">
        <v>2172.7370000000001</v>
      </c>
    </row>
    <row r="20" spans="1:14" x14ac:dyDescent="0.25">
      <c r="A20" s="8"/>
      <c r="D20" s="7">
        <v>42661</v>
      </c>
      <c r="E20" s="20">
        <v>30100</v>
      </c>
      <c r="F20">
        <v>22346</v>
      </c>
      <c r="G20">
        <f t="shared" si="0"/>
        <v>60124516</v>
      </c>
      <c r="H20">
        <f t="shared" si="1"/>
        <v>216422062.95525497</v>
      </c>
      <c r="I20">
        <f t="shared" si="4"/>
        <v>-29683.727999999999</v>
      </c>
      <c r="J20">
        <v>2098.694</v>
      </c>
      <c r="K20">
        <f t="shared" si="3"/>
        <v>852.34169999999995</v>
      </c>
      <c r="L20">
        <f t="shared" si="3"/>
        <v>632.77168199999994</v>
      </c>
      <c r="M20" s="21">
        <v>1278.183</v>
      </c>
    </row>
    <row r="21" spans="1:14" x14ac:dyDescent="0.25">
      <c r="A21" s="8"/>
      <c r="D21" s="7">
        <v>42662</v>
      </c>
      <c r="E21" s="20">
        <v>26200</v>
      </c>
      <c r="F21">
        <v>739.66800000000001</v>
      </c>
      <c r="G21">
        <f t="shared" si="0"/>
        <v>648228505.55022395</v>
      </c>
      <c r="H21">
        <f t="shared" si="1"/>
        <v>116883998.43912593</v>
      </c>
      <c r="I21">
        <f t="shared" si="4"/>
        <v>-25947.898000000001</v>
      </c>
      <c r="J21">
        <v>1456.472</v>
      </c>
      <c r="K21">
        <f t="shared" si="3"/>
        <v>741.90539999999999</v>
      </c>
      <c r="L21">
        <f t="shared" si="3"/>
        <v>20.945178756000001</v>
      </c>
      <c r="M21" s="21">
        <v>739.66800000000001</v>
      </c>
    </row>
    <row r="22" spans="1:14" x14ac:dyDescent="0.25">
      <c r="A22" s="8"/>
      <c r="D22" s="7">
        <v>42663</v>
      </c>
      <c r="E22" s="20">
        <v>18300</v>
      </c>
      <c r="F22">
        <v>416.27199999999999</v>
      </c>
      <c r="G22">
        <f t="shared" si="0"/>
        <v>319827727.177984</v>
      </c>
      <c r="H22">
        <f t="shared" si="1"/>
        <v>8475611.3423517216</v>
      </c>
      <c r="I22">
        <f t="shared" si="4"/>
        <v>-18150.848999999998</v>
      </c>
      <c r="J22">
        <v>1088.9960000000001</v>
      </c>
      <c r="K22">
        <f t="shared" si="3"/>
        <v>518.2011</v>
      </c>
      <c r="L22">
        <f t="shared" si="3"/>
        <v>11.787574223999998</v>
      </c>
      <c r="M22" s="21">
        <v>416.27199999999999</v>
      </c>
    </row>
    <row r="23" spans="1:14" x14ac:dyDescent="0.25">
      <c r="A23" s="8"/>
      <c r="D23" s="7">
        <v>42664</v>
      </c>
      <c r="E23" s="20">
        <v>8630</v>
      </c>
      <c r="F23">
        <v>252.102</v>
      </c>
      <c r="G23">
        <f t="shared" si="0"/>
        <v>70189174.898403987</v>
      </c>
      <c r="H23">
        <f t="shared" si="1"/>
        <v>45680156.50364203</v>
      </c>
      <c r="I23">
        <f t="shared" si="4"/>
        <v>-8538.8829999999998</v>
      </c>
      <c r="J23">
        <v>850.52099999999996</v>
      </c>
      <c r="K23">
        <f t="shared" si="3"/>
        <v>244.37571</v>
      </c>
      <c r="L23">
        <f t="shared" si="3"/>
        <v>7.1387723339999996</v>
      </c>
      <c r="M23" s="21">
        <v>252.102</v>
      </c>
    </row>
    <row r="24" spans="1:14" x14ac:dyDescent="0.25">
      <c r="A24" s="8"/>
      <c r="D24" s="7">
        <v>42665</v>
      </c>
      <c r="E24" s="20">
        <v>4380</v>
      </c>
      <c r="F24">
        <v>149.15100000000001</v>
      </c>
      <c r="G24">
        <f t="shared" si="0"/>
        <v>17900083.260801002</v>
      </c>
      <c r="H24">
        <f t="shared" si="1"/>
        <v>121191688.76170655</v>
      </c>
      <c r="I24">
        <f t="shared" si="4"/>
        <v>-4320.7299999999996</v>
      </c>
      <c r="J24">
        <v>703.346</v>
      </c>
      <c r="K24">
        <f t="shared" si="3"/>
        <v>124.02846</v>
      </c>
      <c r="L24">
        <f t="shared" si="3"/>
        <v>4.2235088670000005</v>
      </c>
      <c r="M24" s="21">
        <v>149.15100000000001</v>
      </c>
    </row>
    <row r="25" spans="1:14" x14ac:dyDescent="0.25">
      <c r="A25" s="8"/>
      <c r="D25" s="7">
        <v>42666</v>
      </c>
      <c r="E25" s="20">
        <v>1960</v>
      </c>
      <c r="F25">
        <v>91.117000000000004</v>
      </c>
      <c r="G25">
        <f t="shared" si="0"/>
        <v>3492723.6676890003</v>
      </c>
      <c r="H25">
        <f t="shared" si="1"/>
        <v>180330243.60041621</v>
      </c>
      <c r="I25">
        <f t="shared" si="4"/>
        <v>-1917.2670000000001</v>
      </c>
      <c r="J25">
        <v>588.40099999999995</v>
      </c>
      <c r="K25">
        <f t="shared" si="3"/>
        <v>55.50132</v>
      </c>
      <c r="L25">
        <f t="shared" si="3"/>
        <v>2.580160089</v>
      </c>
      <c r="M25" s="21">
        <v>91.117000000000004</v>
      </c>
    </row>
    <row r="26" spans="1:14" x14ac:dyDescent="0.25">
      <c r="A26" s="8"/>
      <c r="D26" s="7">
        <v>42667</v>
      </c>
      <c r="E26" s="20">
        <v>1410</v>
      </c>
      <c r="F26">
        <v>59.27</v>
      </c>
      <c r="G26">
        <f t="shared" si="0"/>
        <v>1824471.5329</v>
      </c>
      <c r="H26">
        <f t="shared" si="1"/>
        <v>195404324.24557751</v>
      </c>
      <c r="I26">
        <f t="shared" si="4"/>
        <v>-1378.086</v>
      </c>
      <c r="J26">
        <v>512.52700000000004</v>
      </c>
      <c r="K26">
        <f t="shared" si="3"/>
        <v>39.926969999999997</v>
      </c>
      <c r="L26">
        <f t="shared" si="3"/>
        <v>1.6783485899999999</v>
      </c>
      <c r="M26" s="21">
        <v>59.27</v>
      </c>
    </row>
    <row r="27" spans="1:14" x14ac:dyDescent="0.25">
      <c r="A27" s="8"/>
      <c r="D27" s="7">
        <v>42668</v>
      </c>
      <c r="E27" s="20">
        <v>1410</v>
      </c>
      <c r="F27">
        <v>42.732999999999997</v>
      </c>
      <c r="G27">
        <f t="shared" si="0"/>
        <v>1869419.0492890002</v>
      </c>
      <c r="H27">
        <f t="shared" si="1"/>
        <v>195404324.24557751</v>
      </c>
      <c r="I27">
        <f t="shared" si="4"/>
        <v>-1385.4259999999999</v>
      </c>
      <c r="J27">
        <v>453.07900000000001</v>
      </c>
      <c r="K27">
        <f t="shared" si="3"/>
        <v>39.926969999999997</v>
      </c>
      <c r="L27">
        <f t="shared" si="3"/>
        <v>1.2100703609999999</v>
      </c>
      <c r="M27" s="21">
        <v>42.732999999999997</v>
      </c>
    </row>
    <row r="28" spans="1:14" x14ac:dyDescent="0.25">
      <c r="A28" s="8"/>
      <c r="D28" s="7">
        <v>42669</v>
      </c>
      <c r="E28" s="20">
        <v>1460</v>
      </c>
      <c r="F28">
        <v>31.914000000000001</v>
      </c>
      <c r="G28">
        <f t="shared" si="0"/>
        <v>2039429.6233960001</v>
      </c>
      <c r="H28">
        <f t="shared" si="1"/>
        <v>194008953.27783558</v>
      </c>
      <c r="I28">
        <f t="shared" si="4"/>
        <v>-1441.0309999999999</v>
      </c>
      <c r="J28">
        <v>404.39100000000002</v>
      </c>
      <c r="K28">
        <f t="shared" si="3"/>
        <v>41.342819999999996</v>
      </c>
      <c r="L28">
        <f t="shared" si="3"/>
        <v>0.90370873799999996</v>
      </c>
      <c r="M28" s="21">
        <v>31.914000000000001</v>
      </c>
    </row>
    <row r="29" spans="1:14" x14ac:dyDescent="0.25">
      <c r="A29" s="8"/>
      <c r="D29" s="7">
        <v>42670</v>
      </c>
      <c r="E29" s="20">
        <v>1320</v>
      </c>
      <c r="F29">
        <v>24.574000000000002</v>
      </c>
      <c r="G29">
        <f t="shared" si="0"/>
        <v>1678128.5214759998</v>
      </c>
      <c r="H29">
        <f t="shared" si="1"/>
        <v>197928591.98751298</v>
      </c>
      <c r="I29">
        <f t="shared" si="4"/>
        <v>-1305.9449999999999</v>
      </c>
      <c r="J29">
        <v>361.29199999999997</v>
      </c>
      <c r="K29">
        <f t="shared" si="3"/>
        <v>37.378439999999998</v>
      </c>
      <c r="L29">
        <f t="shared" si="3"/>
        <v>0.69586195800000006</v>
      </c>
      <c r="M29" s="21">
        <v>24.574000000000002</v>
      </c>
    </row>
    <row r="30" spans="1:14" x14ac:dyDescent="0.25">
      <c r="A30" s="8"/>
      <c r="D30" s="7">
        <v>42671</v>
      </c>
      <c r="E30" s="20">
        <v>1360</v>
      </c>
      <c r="F30">
        <v>18.969000000000001</v>
      </c>
      <c r="G30">
        <f t="shared" si="0"/>
        <v>1798364.1429609999</v>
      </c>
      <c r="H30">
        <f t="shared" si="1"/>
        <v>196804695.21331945</v>
      </c>
      <c r="I30">
        <f t="shared" si="4"/>
        <v>-1349.3130000000001</v>
      </c>
      <c r="J30">
        <v>329.483</v>
      </c>
      <c r="K30">
        <f t="shared" si="3"/>
        <v>38.511119999999998</v>
      </c>
      <c r="L30">
        <f t="shared" si="3"/>
        <v>0.53714517299999998</v>
      </c>
      <c r="M30" s="21">
        <v>18.969000000000001</v>
      </c>
    </row>
    <row r="31" spans="1:14" x14ac:dyDescent="0.25">
      <c r="A31" s="8"/>
      <c r="D31" s="7">
        <v>42672</v>
      </c>
      <c r="E31" s="20">
        <v>1230</v>
      </c>
      <c r="F31">
        <v>14.055</v>
      </c>
      <c r="G31">
        <f t="shared" si="0"/>
        <v>1478522.2430249997</v>
      </c>
      <c r="H31">
        <f t="shared" si="1"/>
        <v>200469059.72944847</v>
      </c>
      <c r="I31">
        <f t="shared" si="4"/>
        <v>-1221.896</v>
      </c>
      <c r="J31">
        <v>300.16500000000002</v>
      </c>
      <c r="K31">
        <f t="shared" si="3"/>
        <v>34.829909999999998</v>
      </c>
      <c r="L31">
        <f t="shared" si="3"/>
        <v>0.39799543499999995</v>
      </c>
      <c r="M31" s="22">
        <v>14.055</v>
      </c>
      <c r="N31" s="19">
        <f>E36</f>
        <v>0.83064198068049766</v>
      </c>
    </row>
    <row r="32" spans="1:14" x14ac:dyDescent="0.25">
      <c r="A32" s="8"/>
      <c r="D32" s="7">
        <v>42673</v>
      </c>
      <c r="E32" s="20">
        <v>1250</v>
      </c>
      <c r="F32">
        <v>10.686999999999999</v>
      </c>
      <c r="G32">
        <f t="shared" si="0"/>
        <v>1535896.7119690003</v>
      </c>
      <c r="H32">
        <f t="shared" si="1"/>
        <v>199903111.3423517</v>
      </c>
      <c r="I32">
        <f t="shared" si="4"/>
        <v>-973.053</v>
      </c>
      <c r="J32">
        <v>276.947</v>
      </c>
      <c r="K32">
        <f t="shared" si="3"/>
        <v>35.396249999999995</v>
      </c>
      <c r="L32">
        <f t="shared" si="3"/>
        <v>0.30262377899999998</v>
      </c>
      <c r="M32" s="22">
        <v>10.686999999999999</v>
      </c>
      <c r="N32" s="19">
        <f>E37</f>
        <v>0.86203512906579005</v>
      </c>
    </row>
    <row r="33" spans="1:14" x14ac:dyDescent="0.25">
      <c r="A33" s="8"/>
      <c r="D33" s="7">
        <v>42674</v>
      </c>
      <c r="E33" s="20">
        <v>1140</v>
      </c>
      <c r="F33">
        <v>8.1039999999999992</v>
      </c>
      <c r="G33">
        <f t="shared" si="0"/>
        <v>1281188.5548159999</v>
      </c>
      <c r="H33">
        <f t="shared" si="1"/>
        <v>203025727.47138396</v>
      </c>
      <c r="I33">
        <f t="shared" si="4"/>
        <v>-885.32400000000007</v>
      </c>
      <c r="J33">
        <v>254.67599999999999</v>
      </c>
      <c r="K33">
        <f t="shared" si="3"/>
        <v>32.281379999999999</v>
      </c>
      <c r="L33">
        <f t="shared" si="3"/>
        <v>0.22948096799999995</v>
      </c>
      <c r="M33" s="22">
        <v>8.1039999999999992</v>
      </c>
      <c r="N33" s="19">
        <f>E40</f>
        <v>0.41153131025415585</v>
      </c>
    </row>
    <row r="34" spans="1:14" x14ac:dyDescent="0.25">
      <c r="A34" s="8"/>
      <c r="E34" s="6">
        <f>AVERAGE(E3:E33)</f>
        <v>15388.709677419354</v>
      </c>
      <c r="F34">
        <v>276.947</v>
      </c>
      <c r="G34" s="6">
        <f>SUM(G3:G33)</f>
        <v>1537270523.0909522</v>
      </c>
      <c r="H34" s="6">
        <f>SUM(H3:H33)</f>
        <v>9077045948.3870983</v>
      </c>
      <c r="I34" s="6">
        <f>SUM(I3:I33)</f>
        <v>-138274.851</v>
      </c>
      <c r="K34" s="6">
        <f>MAX(K3:K33)</f>
        <v>1308.2454</v>
      </c>
      <c r="L34" s="6">
        <f>MAX(L3:L33)</f>
        <v>1311.02499672</v>
      </c>
    </row>
    <row r="35" spans="1:14" x14ac:dyDescent="0.25">
      <c r="A35" s="8"/>
      <c r="E35" s="6">
        <f>SUM(E3:E33)</f>
        <v>477050</v>
      </c>
      <c r="F35">
        <v>254.67599999999999</v>
      </c>
      <c r="G35" s="6"/>
      <c r="H35" s="6">
        <f>COUNT(E3:E33)</f>
        <v>31</v>
      </c>
      <c r="I35" s="6"/>
    </row>
    <row r="36" spans="1:14" x14ac:dyDescent="0.25">
      <c r="A36" s="8"/>
      <c r="D36" s="2" t="s">
        <v>38</v>
      </c>
      <c r="E36" s="2">
        <f>1-(G34/H34)</f>
        <v>0.83064198068049766</v>
      </c>
      <c r="H36">
        <f>H34/H35</f>
        <v>292807933.81893867</v>
      </c>
    </row>
    <row r="37" spans="1:14" x14ac:dyDescent="0.25">
      <c r="A37" s="8"/>
      <c r="D37" s="2" t="s">
        <v>39</v>
      </c>
      <c r="E37" s="2">
        <f>RSQ(E3:E33,F3:F33)</f>
        <v>0.86203512906579005</v>
      </c>
      <c r="G37" s="6" t="s">
        <v>49</v>
      </c>
      <c r="H37" s="6">
        <f>H36^0.5</f>
        <v>17111.631535857083</v>
      </c>
    </row>
    <row r="38" spans="1:14" x14ac:dyDescent="0.25">
      <c r="A38" s="8"/>
      <c r="D38" s="2" t="s">
        <v>40</v>
      </c>
      <c r="E38" s="2">
        <f>CORREL(E3:E33,F3:F33)</f>
        <v>0.92845846921970066</v>
      </c>
    </row>
    <row r="39" spans="1:14" x14ac:dyDescent="0.25">
      <c r="A39" s="8"/>
      <c r="D39" s="2" t="s">
        <v>41</v>
      </c>
      <c r="E39" s="2">
        <f>(AVERAGE(G3:G33))^0.5</f>
        <v>7041.9721465375987</v>
      </c>
    </row>
    <row r="40" spans="1:14" x14ac:dyDescent="0.25">
      <c r="A40" s="8"/>
      <c r="D40" s="2" t="s">
        <v>50</v>
      </c>
      <c r="E40" s="6">
        <f>E39/H37</f>
        <v>0.41153131025415585</v>
      </c>
    </row>
    <row r="41" spans="1:14" x14ac:dyDescent="0.25">
      <c r="A41" s="8"/>
      <c r="D41" s="2" t="s">
        <v>42</v>
      </c>
      <c r="E41" s="10">
        <f>I34/E35</f>
        <v>-0.28985400062886491</v>
      </c>
    </row>
    <row r="42" spans="1:14" x14ac:dyDescent="0.25">
      <c r="A42" s="8"/>
    </row>
    <row r="43" spans="1:14" x14ac:dyDescent="0.25">
      <c r="A43" s="8"/>
    </row>
    <row r="44" spans="1:14" x14ac:dyDescent="0.25">
      <c r="A44" s="8"/>
    </row>
    <row r="45" spans="1:14" x14ac:dyDescent="0.25">
      <c r="A45" s="8"/>
    </row>
    <row r="46" spans="1:14" x14ac:dyDescent="0.25">
      <c r="A46" s="8"/>
    </row>
    <row r="47" spans="1:14" x14ac:dyDescent="0.25">
      <c r="A47" s="8"/>
    </row>
    <row r="48" spans="1:14" x14ac:dyDescent="0.25">
      <c r="A48" s="8"/>
    </row>
    <row r="49" spans="1:9" x14ac:dyDescent="0.25">
      <c r="A49" s="8"/>
    </row>
    <row r="50" spans="1:9" x14ac:dyDescent="0.25">
      <c r="A50" s="8"/>
      <c r="H50" s="11"/>
      <c r="I50" s="11"/>
    </row>
    <row r="51" spans="1:9" x14ac:dyDescent="0.25">
      <c r="A51" s="8"/>
      <c r="H51" s="12"/>
      <c r="I51" s="13"/>
    </row>
    <row r="52" spans="1:9" x14ac:dyDescent="0.25">
      <c r="A52" s="8"/>
      <c r="H52" s="12"/>
      <c r="I52" s="13"/>
    </row>
    <row r="53" spans="1:9" x14ac:dyDescent="0.25">
      <c r="A53" s="8"/>
      <c r="H53" s="9"/>
      <c r="I53" s="9"/>
    </row>
    <row r="54" spans="1:9" x14ac:dyDescent="0.25">
      <c r="A54" s="8"/>
    </row>
    <row r="55" spans="1:9" x14ac:dyDescent="0.25">
      <c r="A55" s="8"/>
    </row>
    <row r="56" spans="1:9" x14ac:dyDescent="0.25">
      <c r="A56" s="8"/>
    </row>
    <row r="57" spans="1:9" x14ac:dyDescent="0.25">
      <c r="A57" s="8"/>
    </row>
    <row r="58" spans="1:9" x14ac:dyDescent="0.25">
      <c r="A58" s="8"/>
    </row>
    <row r="59" spans="1:9" x14ac:dyDescent="0.25">
      <c r="A59" s="8"/>
    </row>
    <row r="60" spans="1:9" x14ac:dyDescent="0.25">
      <c r="A60" s="8"/>
    </row>
    <row r="61" spans="1:9" x14ac:dyDescent="0.25">
      <c r="A61" s="8"/>
    </row>
    <row r="62" spans="1:9" x14ac:dyDescent="0.25">
      <c r="A62" s="8"/>
    </row>
    <row r="63" spans="1:9" x14ac:dyDescent="0.25">
      <c r="A63" s="8"/>
    </row>
    <row r="64" spans="1:9" x14ac:dyDescent="0.25">
      <c r="A64" s="8"/>
    </row>
    <row r="65" spans="1:1" x14ac:dyDescent="0.25">
      <c r="A65" s="8"/>
    </row>
    <row r="66" spans="1:1" x14ac:dyDescent="0.25">
      <c r="A66" s="8"/>
    </row>
    <row r="67" spans="1:1" x14ac:dyDescent="0.25">
      <c r="A67" s="8"/>
    </row>
    <row r="68" spans="1:1" x14ac:dyDescent="0.25">
      <c r="A68" s="8"/>
    </row>
    <row r="69" spans="1:1" x14ac:dyDescent="0.25">
      <c r="A69" s="8"/>
    </row>
    <row r="70" spans="1:1" x14ac:dyDescent="0.25">
      <c r="A70" s="8"/>
    </row>
    <row r="71" spans="1:1" x14ac:dyDescent="0.25">
      <c r="A71" s="8"/>
    </row>
    <row r="72" spans="1:1" x14ac:dyDescent="0.25">
      <c r="A72" s="8"/>
    </row>
    <row r="73" spans="1:1" x14ac:dyDescent="0.25">
      <c r="A73" s="8"/>
    </row>
    <row r="74" spans="1:1" x14ac:dyDescent="0.25">
      <c r="A74" s="8"/>
    </row>
    <row r="75" spans="1:1" x14ac:dyDescent="0.25">
      <c r="A75" s="8"/>
    </row>
    <row r="76" spans="1:1" x14ac:dyDescent="0.25">
      <c r="A76" s="8"/>
    </row>
    <row r="77" spans="1:1" x14ac:dyDescent="0.25">
      <c r="A77" s="8"/>
    </row>
    <row r="78" spans="1:1" x14ac:dyDescent="0.25">
      <c r="A78" s="8"/>
    </row>
    <row r="79" spans="1:1" x14ac:dyDescent="0.25">
      <c r="A79" s="8"/>
    </row>
    <row r="80" spans="1:1" x14ac:dyDescent="0.25">
      <c r="A80" s="8"/>
    </row>
    <row r="81" spans="1:1" x14ac:dyDescent="0.25">
      <c r="A81" s="8"/>
    </row>
    <row r="82" spans="1:1" x14ac:dyDescent="0.25">
      <c r="A82" s="8"/>
    </row>
    <row r="83" spans="1:1" x14ac:dyDescent="0.25">
      <c r="A83" s="8"/>
    </row>
    <row r="84" spans="1:1" x14ac:dyDescent="0.25">
      <c r="A84" s="8"/>
    </row>
    <row r="85" spans="1:1" x14ac:dyDescent="0.25">
      <c r="A85" s="8"/>
    </row>
    <row r="86" spans="1:1" x14ac:dyDescent="0.25">
      <c r="A86" s="8"/>
    </row>
    <row r="87" spans="1:1" x14ac:dyDescent="0.25">
      <c r="A87" s="8"/>
    </row>
    <row r="88" spans="1:1" x14ac:dyDescent="0.25">
      <c r="A88" s="8"/>
    </row>
    <row r="89" spans="1:1" x14ac:dyDescent="0.25">
      <c r="A89" s="8"/>
    </row>
    <row r="90" spans="1:1" x14ac:dyDescent="0.25">
      <c r="A90" s="8"/>
    </row>
    <row r="91" spans="1:1" x14ac:dyDescent="0.25">
      <c r="A91" s="8"/>
    </row>
    <row r="92" spans="1:1" x14ac:dyDescent="0.25">
      <c r="A92" s="8"/>
    </row>
    <row r="93" spans="1:1" x14ac:dyDescent="0.25">
      <c r="A93" s="8"/>
    </row>
    <row r="94" spans="1:1" x14ac:dyDescent="0.25">
      <c r="A94" s="8"/>
    </row>
    <row r="95" spans="1:1" x14ac:dyDescent="0.25">
      <c r="A95" s="8"/>
    </row>
    <row r="96" spans="1:1" x14ac:dyDescent="0.25">
      <c r="A96" s="8"/>
    </row>
    <row r="97" spans="1:1" x14ac:dyDescent="0.25">
      <c r="A97" s="8"/>
    </row>
    <row r="98" spans="1:1" x14ac:dyDescent="0.25">
      <c r="A98" s="8"/>
    </row>
    <row r="99" spans="1:1" x14ac:dyDescent="0.25">
      <c r="A99" s="8"/>
    </row>
    <row r="100" spans="1:1" x14ac:dyDescent="0.25">
      <c r="A100" s="8"/>
    </row>
    <row r="101" spans="1:1" x14ac:dyDescent="0.25">
      <c r="A101" s="8"/>
    </row>
    <row r="102" spans="1:1" x14ac:dyDescent="0.25">
      <c r="A102" s="8"/>
    </row>
    <row r="103" spans="1:1" x14ac:dyDescent="0.25">
      <c r="A103" s="8"/>
    </row>
    <row r="104" spans="1:1" x14ac:dyDescent="0.25">
      <c r="A104" s="8"/>
    </row>
    <row r="105" spans="1:1" x14ac:dyDescent="0.25">
      <c r="A105" s="8"/>
    </row>
    <row r="106" spans="1:1" x14ac:dyDescent="0.25">
      <c r="A106" s="8"/>
    </row>
    <row r="107" spans="1:1" x14ac:dyDescent="0.25">
      <c r="A107" s="8"/>
    </row>
    <row r="108" spans="1:1" x14ac:dyDescent="0.25">
      <c r="A108" s="8"/>
    </row>
    <row r="109" spans="1:1" x14ac:dyDescent="0.25">
      <c r="A109" s="8"/>
    </row>
    <row r="110" spans="1:1" x14ac:dyDescent="0.25">
      <c r="A110" s="8"/>
    </row>
    <row r="111" spans="1:1" x14ac:dyDescent="0.25">
      <c r="A111" s="8"/>
    </row>
    <row r="112" spans="1:1" x14ac:dyDescent="0.25">
      <c r="A112" s="8"/>
    </row>
    <row r="113" spans="1:1" x14ac:dyDescent="0.25">
      <c r="A113" s="8"/>
    </row>
    <row r="114" spans="1:1" x14ac:dyDescent="0.25">
      <c r="A114" s="8"/>
    </row>
    <row r="115" spans="1:1" x14ac:dyDescent="0.25">
      <c r="A115" s="8"/>
    </row>
    <row r="116" spans="1:1" x14ac:dyDescent="0.25">
      <c r="A116" s="8"/>
    </row>
    <row r="117" spans="1:1" x14ac:dyDescent="0.25">
      <c r="A117" s="8"/>
    </row>
    <row r="118" spans="1:1" x14ac:dyDescent="0.25">
      <c r="A118" s="8"/>
    </row>
    <row r="119" spans="1:1" x14ac:dyDescent="0.25">
      <c r="A119" s="8"/>
    </row>
    <row r="120" spans="1:1" x14ac:dyDescent="0.25">
      <c r="A120" s="8"/>
    </row>
    <row r="121" spans="1:1" x14ac:dyDescent="0.25">
      <c r="A121" s="8"/>
    </row>
    <row r="122" spans="1:1" x14ac:dyDescent="0.25">
      <c r="A122" s="8"/>
    </row>
    <row r="123" spans="1:1" x14ac:dyDescent="0.25">
      <c r="A123" s="8"/>
    </row>
    <row r="124" spans="1:1" x14ac:dyDescent="0.25">
      <c r="A124" s="8"/>
    </row>
    <row r="125" spans="1:1" x14ac:dyDescent="0.25">
      <c r="A125" s="8"/>
    </row>
    <row r="126" spans="1:1" x14ac:dyDescent="0.25">
      <c r="A126" s="8"/>
    </row>
    <row r="127" spans="1:1" x14ac:dyDescent="0.25">
      <c r="A127" s="8"/>
    </row>
    <row r="128" spans="1:1" x14ac:dyDescent="0.25">
      <c r="A128" s="8"/>
    </row>
    <row r="129" spans="1:1" x14ac:dyDescent="0.25">
      <c r="A129" s="8"/>
    </row>
    <row r="130" spans="1:1" x14ac:dyDescent="0.25">
      <c r="A130" s="8"/>
    </row>
    <row r="131" spans="1:1" x14ac:dyDescent="0.25">
      <c r="A131" s="8"/>
    </row>
    <row r="132" spans="1:1" x14ac:dyDescent="0.25">
      <c r="A132" s="8"/>
    </row>
    <row r="133" spans="1:1" x14ac:dyDescent="0.25">
      <c r="A133" s="8"/>
    </row>
    <row r="134" spans="1:1" x14ac:dyDescent="0.25">
      <c r="A134" s="8"/>
    </row>
    <row r="135" spans="1:1" x14ac:dyDescent="0.25">
      <c r="A135" s="8"/>
    </row>
    <row r="136" spans="1:1" x14ac:dyDescent="0.25">
      <c r="A136" s="8"/>
    </row>
    <row r="137" spans="1:1" x14ac:dyDescent="0.25">
      <c r="A137" s="8"/>
    </row>
    <row r="138" spans="1:1" x14ac:dyDescent="0.25">
      <c r="A138" s="8"/>
    </row>
    <row r="139" spans="1:1" x14ac:dyDescent="0.25">
      <c r="A139" s="8"/>
    </row>
    <row r="140" spans="1:1" x14ac:dyDescent="0.25">
      <c r="A140" s="8"/>
    </row>
    <row r="141" spans="1:1" x14ac:dyDescent="0.25">
      <c r="A141" s="8"/>
    </row>
    <row r="142" spans="1:1" x14ac:dyDescent="0.25">
      <c r="A142" s="8"/>
    </row>
    <row r="143" spans="1:1" x14ac:dyDescent="0.25">
      <c r="A143" s="8"/>
    </row>
    <row r="144" spans="1:1" x14ac:dyDescent="0.25">
      <c r="A144" s="8"/>
    </row>
    <row r="145" spans="1:1" x14ac:dyDescent="0.25">
      <c r="A145" s="8"/>
    </row>
    <row r="146" spans="1:1" x14ac:dyDescent="0.25">
      <c r="A146" s="8"/>
    </row>
    <row r="147" spans="1:1" x14ac:dyDescent="0.25">
      <c r="A147" s="8"/>
    </row>
    <row r="148" spans="1:1" x14ac:dyDescent="0.25">
      <c r="A148" s="8"/>
    </row>
    <row r="149" spans="1:1" x14ac:dyDescent="0.25">
      <c r="A149" s="8"/>
    </row>
    <row r="150" spans="1:1" x14ac:dyDescent="0.25">
      <c r="A150" s="8"/>
    </row>
    <row r="151" spans="1:1" x14ac:dyDescent="0.25">
      <c r="A151" s="8"/>
    </row>
    <row r="152" spans="1:1" x14ac:dyDescent="0.25">
      <c r="A152" s="8"/>
    </row>
    <row r="153" spans="1:1" x14ac:dyDescent="0.25">
      <c r="A153" s="8"/>
    </row>
    <row r="154" spans="1:1" x14ac:dyDescent="0.25">
      <c r="A154" s="8"/>
    </row>
    <row r="155" spans="1:1" x14ac:dyDescent="0.25">
      <c r="A155" s="8"/>
    </row>
    <row r="156" spans="1:1" x14ac:dyDescent="0.25">
      <c r="A156" s="8"/>
    </row>
    <row r="157" spans="1:1" x14ac:dyDescent="0.25">
      <c r="A157" s="8"/>
    </row>
    <row r="158" spans="1:1" x14ac:dyDescent="0.25">
      <c r="A158" s="8"/>
    </row>
    <row r="159" spans="1:1" x14ac:dyDescent="0.25">
      <c r="A159" s="8"/>
    </row>
    <row r="160" spans="1:1" x14ac:dyDescent="0.25">
      <c r="A160" s="8"/>
    </row>
    <row r="161" spans="1:1" x14ac:dyDescent="0.25">
      <c r="A161" s="8"/>
    </row>
    <row r="162" spans="1:1" x14ac:dyDescent="0.25">
      <c r="A162" s="8"/>
    </row>
    <row r="163" spans="1:1" x14ac:dyDescent="0.25">
      <c r="A163" s="8"/>
    </row>
    <row r="164" spans="1:1" x14ac:dyDescent="0.25">
      <c r="A164" s="8"/>
    </row>
    <row r="165" spans="1:1" x14ac:dyDescent="0.25">
      <c r="A165" s="8"/>
    </row>
    <row r="166" spans="1:1" x14ac:dyDescent="0.25">
      <c r="A166" s="8"/>
    </row>
    <row r="167" spans="1:1" x14ac:dyDescent="0.25">
      <c r="A167" s="8"/>
    </row>
    <row r="168" spans="1:1" x14ac:dyDescent="0.25">
      <c r="A168" s="8"/>
    </row>
    <row r="169" spans="1:1" x14ac:dyDescent="0.25">
      <c r="A169" s="8"/>
    </row>
    <row r="170" spans="1:1" x14ac:dyDescent="0.25">
      <c r="A170" s="8"/>
    </row>
    <row r="171" spans="1:1" x14ac:dyDescent="0.25">
      <c r="A171" s="8"/>
    </row>
    <row r="172" spans="1:1" x14ac:dyDescent="0.25">
      <c r="A172" s="8"/>
    </row>
    <row r="173" spans="1:1" x14ac:dyDescent="0.25">
      <c r="A173" s="8"/>
    </row>
    <row r="174" spans="1:1" x14ac:dyDescent="0.25">
      <c r="A174" s="8"/>
    </row>
    <row r="175" spans="1:1" x14ac:dyDescent="0.25">
      <c r="A175" s="8"/>
    </row>
    <row r="176" spans="1:1" x14ac:dyDescent="0.25">
      <c r="A176" s="8"/>
    </row>
    <row r="177" spans="1:1" x14ac:dyDescent="0.25">
      <c r="A177" s="8"/>
    </row>
    <row r="178" spans="1:1" x14ac:dyDescent="0.25">
      <c r="A178" s="8"/>
    </row>
    <row r="179" spans="1:1" x14ac:dyDescent="0.25">
      <c r="A179" s="8"/>
    </row>
    <row r="180" spans="1:1" x14ac:dyDescent="0.25">
      <c r="A180" s="8"/>
    </row>
    <row r="181" spans="1:1" x14ac:dyDescent="0.25">
      <c r="A181" s="8"/>
    </row>
    <row r="182" spans="1:1" x14ac:dyDescent="0.25">
      <c r="A182" s="8"/>
    </row>
    <row r="183" spans="1:1" x14ac:dyDescent="0.25">
      <c r="A183" s="8"/>
    </row>
    <row r="184" spans="1:1" x14ac:dyDescent="0.25">
      <c r="A184" s="8"/>
    </row>
    <row r="185" spans="1:1" x14ac:dyDescent="0.25">
      <c r="A185" s="8"/>
    </row>
    <row r="186" spans="1:1" x14ac:dyDescent="0.25">
      <c r="A186" s="8"/>
    </row>
    <row r="187" spans="1:1" x14ac:dyDescent="0.25">
      <c r="A187" s="8"/>
    </row>
    <row r="188" spans="1:1" x14ac:dyDescent="0.25">
      <c r="A188" s="8"/>
    </row>
    <row r="189" spans="1:1" x14ac:dyDescent="0.25">
      <c r="A189" s="8"/>
    </row>
    <row r="190" spans="1:1" x14ac:dyDescent="0.25">
      <c r="A190" s="8"/>
    </row>
    <row r="191" spans="1:1" x14ac:dyDescent="0.25">
      <c r="A191" s="8"/>
    </row>
    <row r="192" spans="1:1" x14ac:dyDescent="0.25">
      <c r="A192" s="8"/>
    </row>
    <row r="193" spans="1:1" x14ac:dyDescent="0.25">
      <c r="A193" s="8"/>
    </row>
    <row r="194" spans="1:1" x14ac:dyDescent="0.25">
      <c r="A194" s="8"/>
    </row>
    <row r="195" spans="1:1" x14ac:dyDescent="0.25">
      <c r="A195" s="8"/>
    </row>
    <row r="196" spans="1:1" x14ac:dyDescent="0.25">
      <c r="A196" s="8"/>
    </row>
    <row r="197" spans="1:1" x14ac:dyDescent="0.25">
      <c r="A197" s="8"/>
    </row>
    <row r="198" spans="1:1" x14ac:dyDescent="0.25">
      <c r="A198" s="8"/>
    </row>
    <row r="199" spans="1:1" x14ac:dyDescent="0.25">
      <c r="A199" s="8"/>
    </row>
    <row r="200" spans="1:1" x14ac:dyDescent="0.25">
      <c r="A200" s="8"/>
    </row>
    <row r="201" spans="1:1" x14ac:dyDescent="0.25">
      <c r="A201" s="8"/>
    </row>
    <row r="202" spans="1:1" x14ac:dyDescent="0.25">
      <c r="A202" s="8"/>
    </row>
    <row r="203" spans="1:1" x14ac:dyDescent="0.25">
      <c r="A203" s="8"/>
    </row>
    <row r="204" spans="1:1" x14ac:dyDescent="0.25">
      <c r="A204" s="8"/>
    </row>
    <row r="205" spans="1:1" x14ac:dyDescent="0.25">
      <c r="A205" s="8"/>
    </row>
    <row r="206" spans="1:1" x14ac:dyDescent="0.25">
      <c r="A206" s="8"/>
    </row>
    <row r="207" spans="1:1" x14ac:dyDescent="0.25">
      <c r="A207" s="8"/>
    </row>
    <row r="208" spans="1:1" x14ac:dyDescent="0.25">
      <c r="A208" s="8"/>
    </row>
    <row r="209" spans="1:1" x14ac:dyDescent="0.25">
      <c r="A209" s="8"/>
    </row>
    <row r="210" spans="1:1" x14ac:dyDescent="0.25">
      <c r="A210" s="8"/>
    </row>
    <row r="211" spans="1:1" x14ac:dyDescent="0.25">
      <c r="A211" s="8"/>
    </row>
    <row r="212" spans="1:1" x14ac:dyDescent="0.25">
      <c r="A212" s="8"/>
    </row>
    <row r="213" spans="1:1" x14ac:dyDescent="0.25">
      <c r="A213" s="8"/>
    </row>
    <row r="214" spans="1:1" x14ac:dyDescent="0.25">
      <c r="A214" s="8"/>
    </row>
    <row r="215" spans="1:1" x14ac:dyDescent="0.25">
      <c r="A215" s="8"/>
    </row>
    <row r="216" spans="1:1" x14ac:dyDescent="0.25">
      <c r="A216" s="8"/>
    </row>
    <row r="217" spans="1:1" x14ac:dyDescent="0.25">
      <c r="A217" s="8"/>
    </row>
    <row r="218" spans="1:1" x14ac:dyDescent="0.25">
      <c r="A218" s="8"/>
    </row>
    <row r="219" spans="1:1" x14ac:dyDescent="0.25">
      <c r="A219" s="8"/>
    </row>
    <row r="220" spans="1:1" x14ac:dyDescent="0.25">
      <c r="A220" s="8"/>
    </row>
    <row r="221" spans="1:1" x14ac:dyDescent="0.25">
      <c r="A221" s="8"/>
    </row>
    <row r="222" spans="1:1" x14ac:dyDescent="0.25">
      <c r="A222" s="8"/>
    </row>
    <row r="223" spans="1:1" x14ac:dyDescent="0.25">
      <c r="A223" s="8"/>
    </row>
    <row r="224" spans="1:1" x14ac:dyDescent="0.25">
      <c r="A224" s="8"/>
    </row>
    <row r="225" spans="1:1" x14ac:dyDescent="0.25">
      <c r="A225" s="8"/>
    </row>
    <row r="226" spans="1:1" x14ac:dyDescent="0.25">
      <c r="A226" s="8"/>
    </row>
    <row r="227" spans="1:1" x14ac:dyDescent="0.25">
      <c r="A227" s="8"/>
    </row>
    <row r="228" spans="1:1" x14ac:dyDescent="0.25">
      <c r="A228" s="8"/>
    </row>
    <row r="229" spans="1:1" x14ac:dyDescent="0.25">
      <c r="A229" s="8"/>
    </row>
    <row r="230" spans="1:1" x14ac:dyDescent="0.25">
      <c r="A230" s="8"/>
    </row>
    <row r="231" spans="1:1" x14ac:dyDescent="0.25">
      <c r="A231" s="8"/>
    </row>
    <row r="232" spans="1:1" x14ac:dyDescent="0.25">
      <c r="A232" s="8"/>
    </row>
    <row r="233" spans="1:1" x14ac:dyDescent="0.25">
      <c r="A233" s="8"/>
    </row>
    <row r="234" spans="1:1" x14ac:dyDescent="0.25">
      <c r="A234" s="8"/>
    </row>
    <row r="235" spans="1:1" x14ac:dyDescent="0.25">
      <c r="A235" s="8"/>
    </row>
    <row r="236" spans="1:1" x14ac:dyDescent="0.25">
      <c r="A236" s="8"/>
    </row>
    <row r="237" spans="1:1" x14ac:dyDescent="0.25">
      <c r="A237" s="8"/>
    </row>
    <row r="238" spans="1:1" x14ac:dyDescent="0.25">
      <c r="A238" s="8"/>
    </row>
    <row r="239" spans="1:1" x14ac:dyDescent="0.25">
      <c r="A239" s="8"/>
    </row>
    <row r="240" spans="1:1" x14ac:dyDescent="0.25">
      <c r="A240" s="8"/>
    </row>
    <row r="241" spans="1:1" x14ac:dyDescent="0.25">
      <c r="A241" s="8"/>
    </row>
    <row r="242" spans="1:1" x14ac:dyDescent="0.25">
      <c r="A242" s="8"/>
    </row>
    <row r="243" spans="1:1" x14ac:dyDescent="0.25">
      <c r="A243" s="8"/>
    </row>
    <row r="244" spans="1:1" x14ac:dyDescent="0.25">
      <c r="A244" s="8"/>
    </row>
    <row r="245" spans="1:1" x14ac:dyDescent="0.25">
      <c r="A245" s="8"/>
    </row>
    <row r="246" spans="1:1" x14ac:dyDescent="0.25">
      <c r="A246" s="8"/>
    </row>
    <row r="247" spans="1:1" x14ac:dyDescent="0.25">
      <c r="A247" s="8"/>
    </row>
    <row r="248" spans="1:1" x14ac:dyDescent="0.25">
      <c r="A248" s="8"/>
    </row>
    <row r="249" spans="1:1" x14ac:dyDescent="0.25">
      <c r="A249" s="8"/>
    </row>
    <row r="250" spans="1:1" x14ac:dyDescent="0.25">
      <c r="A250" s="8"/>
    </row>
    <row r="251" spans="1:1" x14ac:dyDescent="0.25">
      <c r="A251" s="8"/>
    </row>
    <row r="252" spans="1:1" x14ac:dyDescent="0.25">
      <c r="A252" s="8"/>
    </row>
    <row r="253" spans="1:1" x14ac:dyDescent="0.25">
      <c r="A253" s="8"/>
    </row>
    <row r="254" spans="1:1" x14ac:dyDescent="0.25">
      <c r="A254" s="8"/>
    </row>
    <row r="255" spans="1:1" x14ac:dyDescent="0.25">
      <c r="A255" s="8"/>
    </row>
    <row r="256" spans="1:1" x14ac:dyDescent="0.25">
      <c r="A256" s="8"/>
    </row>
    <row r="257" spans="1:1" x14ac:dyDescent="0.25">
      <c r="A257" s="8"/>
    </row>
    <row r="258" spans="1:1" x14ac:dyDescent="0.25">
      <c r="A258" s="8"/>
    </row>
    <row r="259" spans="1:1" x14ac:dyDescent="0.25">
      <c r="A259" s="8"/>
    </row>
    <row r="260" spans="1:1" x14ac:dyDescent="0.25">
      <c r="A260" s="8"/>
    </row>
    <row r="261" spans="1:1" x14ac:dyDescent="0.25">
      <c r="A261" s="8"/>
    </row>
    <row r="262" spans="1:1" x14ac:dyDescent="0.25">
      <c r="A262" s="8"/>
    </row>
    <row r="263" spans="1:1" x14ac:dyDescent="0.25">
      <c r="A263" s="8"/>
    </row>
    <row r="264" spans="1:1" x14ac:dyDescent="0.25">
      <c r="A264" s="8"/>
    </row>
    <row r="265" spans="1:1" x14ac:dyDescent="0.25">
      <c r="A265" s="8"/>
    </row>
    <row r="266" spans="1:1" x14ac:dyDescent="0.25">
      <c r="A266" s="8"/>
    </row>
    <row r="267" spans="1:1" x14ac:dyDescent="0.25">
      <c r="A267" s="8"/>
    </row>
    <row r="268" spans="1:1" x14ac:dyDescent="0.25">
      <c r="A268" s="8"/>
    </row>
    <row r="269" spans="1:1" x14ac:dyDescent="0.25">
      <c r="A269" s="8"/>
    </row>
    <row r="270" spans="1:1" x14ac:dyDescent="0.25">
      <c r="A270" s="8"/>
    </row>
    <row r="271" spans="1:1" x14ac:dyDescent="0.25">
      <c r="A271" s="8"/>
    </row>
    <row r="272" spans="1:1" x14ac:dyDescent="0.25">
      <c r="A272" s="8"/>
    </row>
    <row r="273" spans="1:1" x14ac:dyDescent="0.25">
      <c r="A273" s="8"/>
    </row>
    <row r="274" spans="1:1" x14ac:dyDescent="0.25">
      <c r="A274" s="8"/>
    </row>
    <row r="275" spans="1:1" x14ac:dyDescent="0.25">
      <c r="A275" s="8"/>
    </row>
    <row r="276" spans="1:1" x14ac:dyDescent="0.25">
      <c r="A276" s="8"/>
    </row>
    <row r="277" spans="1:1" x14ac:dyDescent="0.25">
      <c r="A277" s="8"/>
    </row>
    <row r="278" spans="1:1" x14ac:dyDescent="0.25">
      <c r="A278" s="8"/>
    </row>
    <row r="279" spans="1:1" x14ac:dyDescent="0.25">
      <c r="A279" s="8"/>
    </row>
    <row r="280" spans="1:1" x14ac:dyDescent="0.25">
      <c r="A280" s="8"/>
    </row>
    <row r="281" spans="1:1" x14ac:dyDescent="0.25">
      <c r="A281" s="8"/>
    </row>
    <row r="282" spans="1:1" x14ac:dyDescent="0.25">
      <c r="A282" s="8"/>
    </row>
    <row r="283" spans="1:1" x14ac:dyDescent="0.25">
      <c r="A283" s="8"/>
    </row>
    <row r="284" spans="1:1" x14ac:dyDescent="0.25">
      <c r="A284" s="8"/>
    </row>
    <row r="285" spans="1:1" x14ac:dyDescent="0.25">
      <c r="A285" s="8"/>
    </row>
    <row r="286" spans="1:1" x14ac:dyDescent="0.25">
      <c r="A286" s="8"/>
    </row>
    <row r="287" spans="1:1" x14ac:dyDescent="0.25">
      <c r="A287" s="8"/>
    </row>
    <row r="288" spans="1:1" x14ac:dyDescent="0.25">
      <c r="A288" s="8"/>
    </row>
    <row r="289" spans="1:1" x14ac:dyDescent="0.25">
      <c r="A289" s="8"/>
    </row>
    <row r="290" spans="1:1" x14ac:dyDescent="0.25">
      <c r="A290" s="8"/>
    </row>
    <row r="291" spans="1:1" x14ac:dyDescent="0.25">
      <c r="A291" s="8"/>
    </row>
    <row r="292" spans="1:1" x14ac:dyDescent="0.25">
      <c r="A292" s="8"/>
    </row>
    <row r="293" spans="1:1" x14ac:dyDescent="0.25">
      <c r="A293" s="8"/>
    </row>
    <row r="294" spans="1:1" x14ac:dyDescent="0.25">
      <c r="A294" s="8"/>
    </row>
    <row r="295" spans="1:1" x14ac:dyDescent="0.25">
      <c r="A295" s="8"/>
    </row>
    <row r="296" spans="1:1" x14ac:dyDescent="0.25">
      <c r="A296" s="8"/>
    </row>
    <row r="297" spans="1:1" x14ac:dyDescent="0.25">
      <c r="A297" s="8"/>
    </row>
    <row r="298" spans="1:1" x14ac:dyDescent="0.25">
      <c r="A298" s="8"/>
    </row>
    <row r="299" spans="1:1" x14ac:dyDescent="0.25">
      <c r="A299" s="8"/>
    </row>
    <row r="300" spans="1:1" x14ac:dyDescent="0.25">
      <c r="A300" s="8"/>
    </row>
    <row r="301" spans="1:1" x14ac:dyDescent="0.25">
      <c r="A301" s="8"/>
    </row>
    <row r="302" spans="1:1" x14ac:dyDescent="0.25">
      <c r="A302" s="8"/>
    </row>
    <row r="303" spans="1:1" x14ac:dyDescent="0.25">
      <c r="A303" s="8"/>
    </row>
    <row r="304" spans="1:1" x14ac:dyDescent="0.25">
      <c r="A304" s="8"/>
    </row>
    <row r="305" spans="1:1" x14ac:dyDescent="0.25">
      <c r="A305" s="8"/>
    </row>
    <row r="306" spans="1:1" x14ac:dyDescent="0.25">
      <c r="A306" s="8"/>
    </row>
    <row r="307" spans="1:1" x14ac:dyDescent="0.25">
      <c r="A307" s="8"/>
    </row>
    <row r="308" spans="1:1" x14ac:dyDescent="0.25">
      <c r="A308" s="8"/>
    </row>
    <row r="309" spans="1:1" x14ac:dyDescent="0.25">
      <c r="A309" s="8"/>
    </row>
    <row r="310" spans="1:1" x14ac:dyDescent="0.25">
      <c r="A310" s="8"/>
    </row>
    <row r="311" spans="1:1" x14ac:dyDescent="0.25">
      <c r="A311" s="8"/>
    </row>
    <row r="312" spans="1:1" x14ac:dyDescent="0.25">
      <c r="A312" s="8"/>
    </row>
    <row r="313" spans="1:1" x14ac:dyDescent="0.25">
      <c r="A313" s="8"/>
    </row>
    <row r="314" spans="1:1" x14ac:dyDescent="0.25">
      <c r="A314" s="8"/>
    </row>
    <row r="315" spans="1:1" x14ac:dyDescent="0.25">
      <c r="A315" s="8"/>
    </row>
    <row r="316" spans="1:1" x14ac:dyDescent="0.25">
      <c r="A316" s="8"/>
    </row>
    <row r="317" spans="1:1" x14ac:dyDescent="0.25">
      <c r="A317" s="8"/>
    </row>
    <row r="318" spans="1:1" x14ac:dyDescent="0.25">
      <c r="A318" s="8"/>
    </row>
    <row r="319" spans="1:1" x14ac:dyDescent="0.25">
      <c r="A319" s="8"/>
    </row>
    <row r="320" spans="1:1" x14ac:dyDescent="0.25">
      <c r="A320" s="8"/>
    </row>
    <row r="321" spans="1:1" x14ac:dyDescent="0.25">
      <c r="A321" s="8"/>
    </row>
    <row r="322" spans="1:1" x14ac:dyDescent="0.25">
      <c r="A322" s="8"/>
    </row>
    <row r="323" spans="1:1" x14ac:dyDescent="0.25">
      <c r="A323" s="8"/>
    </row>
    <row r="324" spans="1:1" x14ac:dyDescent="0.25">
      <c r="A324" s="8"/>
    </row>
    <row r="325" spans="1:1" x14ac:dyDescent="0.25">
      <c r="A325" s="8"/>
    </row>
    <row r="326" spans="1:1" x14ac:dyDescent="0.25">
      <c r="A326" s="8"/>
    </row>
    <row r="327" spans="1:1" x14ac:dyDescent="0.25">
      <c r="A327" s="8"/>
    </row>
    <row r="328" spans="1:1" x14ac:dyDescent="0.25">
      <c r="A328" s="8"/>
    </row>
    <row r="329" spans="1:1" x14ac:dyDescent="0.25">
      <c r="A329" s="8"/>
    </row>
    <row r="330" spans="1:1" x14ac:dyDescent="0.25">
      <c r="A330" s="8"/>
    </row>
    <row r="331" spans="1:1" x14ac:dyDescent="0.25">
      <c r="A331" s="8"/>
    </row>
    <row r="332" spans="1:1" x14ac:dyDescent="0.25">
      <c r="A332" s="8"/>
    </row>
    <row r="333" spans="1:1" x14ac:dyDescent="0.25">
      <c r="A333" s="8"/>
    </row>
    <row r="334" spans="1:1" x14ac:dyDescent="0.25">
      <c r="A334" s="8"/>
    </row>
    <row r="335" spans="1:1" x14ac:dyDescent="0.25">
      <c r="A335" s="8"/>
    </row>
    <row r="336" spans="1:1" x14ac:dyDescent="0.25">
      <c r="A336" s="8"/>
    </row>
    <row r="337" spans="1:1" x14ac:dyDescent="0.25">
      <c r="A337" s="8"/>
    </row>
    <row r="338" spans="1:1" x14ac:dyDescent="0.25">
      <c r="A338" s="8"/>
    </row>
    <row r="339" spans="1:1" x14ac:dyDescent="0.25">
      <c r="A339" s="8"/>
    </row>
    <row r="340" spans="1:1" x14ac:dyDescent="0.25">
      <c r="A340" s="8"/>
    </row>
    <row r="341" spans="1:1" x14ac:dyDescent="0.25">
      <c r="A341" s="8"/>
    </row>
    <row r="342" spans="1:1" x14ac:dyDescent="0.25">
      <c r="A342" s="8"/>
    </row>
    <row r="343" spans="1:1" x14ac:dyDescent="0.25">
      <c r="A343" s="8"/>
    </row>
    <row r="344" spans="1:1" x14ac:dyDescent="0.25">
      <c r="A344" s="8"/>
    </row>
    <row r="345" spans="1:1" x14ac:dyDescent="0.25">
      <c r="A345" s="8"/>
    </row>
    <row r="346" spans="1:1" x14ac:dyDescent="0.25">
      <c r="A346" s="8"/>
    </row>
    <row r="347" spans="1:1" x14ac:dyDescent="0.25">
      <c r="A347" s="8"/>
    </row>
    <row r="348" spans="1:1" x14ac:dyDescent="0.25">
      <c r="A348" s="8"/>
    </row>
    <row r="349" spans="1:1" x14ac:dyDescent="0.25">
      <c r="A349" s="8"/>
    </row>
    <row r="350" spans="1:1" x14ac:dyDescent="0.25">
      <c r="A350" s="8"/>
    </row>
    <row r="351" spans="1:1" x14ac:dyDescent="0.25">
      <c r="A351" s="8"/>
    </row>
    <row r="352" spans="1:1" x14ac:dyDescent="0.25">
      <c r="A352" s="8"/>
    </row>
    <row r="353" spans="1:1" x14ac:dyDescent="0.25">
      <c r="A353" s="8"/>
    </row>
    <row r="354" spans="1:1" x14ac:dyDescent="0.25">
      <c r="A354" s="8"/>
    </row>
    <row r="355" spans="1:1" x14ac:dyDescent="0.25">
      <c r="A355" s="8"/>
    </row>
    <row r="356" spans="1:1" x14ac:dyDescent="0.25">
      <c r="A356" s="8"/>
    </row>
    <row r="357" spans="1:1" x14ac:dyDescent="0.25">
      <c r="A357" s="8"/>
    </row>
    <row r="358" spans="1:1" x14ac:dyDescent="0.25">
      <c r="A358" s="8"/>
    </row>
    <row r="359" spans="1:1" x14ac:dyDescent="0.25">
      <c r="A359" s="8"/>
    </row>
    <row r="360" spans="1:1" x14ac:dyDescent="0.25">
      <c r="A360" s="8"/>
    </row>
    <row r="361" spans="1:1" x14ac:dyDescent="0.25">
      <c r="A361" s="8"/>
    </row>
    <row r="362" spans="1:1" x14ac:dyDescent="0.25">
      <c r="A362" s="8"/>
    </row>
    <row r="363" spans="1:1" x14ac:dyDescent="0.25">
      <c r="A363" s="8"/>
    </row>
    <row r="364" spans="1:1" x14ac:dyDescent="0.25">
      <c r="A364" s="8"/>
    </row>
    <row r="365" spans="1:1" x14ac:dyDescent="0.25">
      <c r="A365" s="8"/>
    </row>
    <row r="366" spans="1:1" x14ac:dyDescent="0.25">
      <c r="A366" s="8"/>
    </row>
    <row r="367" spans="1:1" x14ac:dyDescent="0.25">
      <c r="A367" s="8"/>
    </row>
    <row r="368" spans="1:1" x14ac:dyDescent="0.25">
      <c r="A368" s="8"/>
    </row>
    <row r="369" spans="1:1" x14ac:dyDescent="0.25">
      <c r="A369" s="8"/>
    </row>
    <row r="370" spans="1:1" x14ac:dyDescent="0.25">
      <c r="A370" s="8"/>
    </row>
    <row r="371" spans="1:1" x14ac:dyDescent="0.25">
      <c r="A371" s="8"/>
    </row>
    <row r="372" spans="1:1" x14ac:dyDescent="0.25">
      <c r="A372" s="8"/>
    </row>
    <row r="373" spans="1:1" x14ac:dyDescent="0.25">
      <c r="A373" s="8"/>
    </row>
    <row r="374" spans="1:1" x14ac:dyDescent="0.25">
      <c r="A374" s="8"/>
    </row>
    <row r="375" spans="1:1" x14ac:dyDescent="0.25">
      <c r="A375" s="8"/>
    </row>
    <row r="376" spans="1:1" x14ac:dyDescent="0.25">
      <c r="A376" s="8"/>
    </row>
    <row r="377" spans="1:1" x14ac:dyDescent="0.25">
      <c r="A377" s="8"/>
    </row>
    <row r="378" spans="1:1" x14ac:dyDescent="0.25">
      <c r="A378" s="8"/>
    </row>
    <row r="379" spans="1:1" x14ac:dyDescent="0.25">
      <c r="A379" s="8"/>
    </row>
    <row r="380" spans="1:1" x14ac:dyDescent="0.25">
      <c r="A380" s="8"/>
    </row>
    <row r="381" spans="1:1" x14ac:dyDescent="0.25">
      <c r="A381" s="8"/>
    </row>
    <row r="382" spans="1:1" x14ac:dyDescent="0.25">
      <c r="A382" s="8"/>
    </row>
    <row r="383" spans="1:1" x14ac:dyDescent="0.25">
      <c r="A383" s="8"/>
    </row>
    <row r="384" spans="1:1" x14ac:dyDescent="0.25">
      <c r="A384" s="8"/>
    </row>
    <row r="385" spans="1:1" x14ac:dyDescent="0.25">
      <c r="A385" s="8"/>
    </row>
    <row r="386" spans="1:1" x14ac:dyDescent="0.25">
      <c r="A386" s="8"/>
    </row>
    <row r="387" spans="1:1" x14ac:dyDescent="0.25">
      <c r="A387" s="8"/>
    </row>
    <row r="388" spans="1:1" x14ac:dyDescent="0.25">
      <c r="A388" s="8"/>
    </row>
    <row r="389" spans="1:1" x14ac:dyDescent="0.25">
      <c r="A389" s="8"/>
    </row>
    <row r="390" spans="1:1" x14ac:dyDescent="0.25">
      <c r="A390" s="8"/>
    </row>
    <row r="391" spans="1:1" x14ac:dyDescent="0.25">
      <c r="A391" s="8"/>
    </row>
    <row r="392" spans="1:1" x14ac:dyDescent="0.25">
      <c r="A392" s="8"/>
    </row>
    <row r="393" spans="1:1" x14ac:dyDescent="0.25">
      <c r="A393" s="8"/>
    </row>
    <row r="394" spans="1:1" x14ac:dyDescent="0.25">
      <c r="A394" s="8"/>
    </row>
    <row r="395" spans="1:1" x14ac:dyDescent="0.25">
      <c r="A395" s="8"/>
    </row>
    <row r="396" spans="1:1" x14ac:dyDescent="0.25">
      <c r="A396" s="8"/>
    </row>
    <row r="397" spans="1:1" x14ac:dyDescent="0.25">
      <c r="A397" s="8"/>
    </row>
    <row r="398" spans="1:1" x14ac:dyDescent="0.25">
      <c r="A398" s="8"/>
    </row>
    <row r="399" spans="1:1" x14ac:dyDescent="0.25">
      <c r="A399" s="8"/>
    </row>
    <row r="400" spans="1:1" x14ac:dyDescent="0.25">
      <c r="A400" s="8"/>
    </row>
    <row r="401" spans="1:1" x14ac:dyDescent="0.25">
      <c r="A401" s="8"/>
    </row>
    <row r="402" spans="1:1" x14ac:dyDescent="0.25">
      <c r="A402" s="8"/>
    </row>
    <row r="403" spans="1:1" x14ac:dyDescent="0.25">
      <c r="A403" s="8"/>
    </row>
    <row r="404" spans="1:1" x14ac:dyDescent="0.25">
      <c r="A404" s="8"/>
    </row>
    <row r="405" spans="1:1" x14ac:dyDescent="0.25">
      <c r="A405" s="8"/>
    </row>
    <row r="406" spans="1:1" x14ac:dyDescent="0.25">
      <c r="A406" s="8"/>
    </row>
    <row r="407" spans="1:1" x14ac:dyDescent="0.25">
      <c r="A407" s="8"/>
    </row>
    <row r="408" spans="1:1" x14ac:dyDescent="0.25">
      <c r="A408" s="8"/>
    </row>
    <row r="409" spans="1:1" x14ac:dyDescent="0.25">
      <c r="A409" s="8"/>
    </row>
    <row r="410" spans="1:1" x14ac:dyDescent="0.25">
      <c r="A410" s="8"/>
    </row>
    <row r="411" spans="1:1" x14ac:dyDescent="0.25">
      <c r="A411" s="8"/>
    </row>
    <row r="412" spans="1:1" x14ac:dyDescent="0.25">
      <c r="A412" s="8"/>
    </row>
    <row r="413" spans="1:1" x14ac:dyDescent="0.25">
      <c r="A413" s="8"/>
    </row>
    <row r="414" spans="1:1" x14ac:dyDescent="0.25">
      <c r="A414" s="8"/>
    </row>
    <row r="415" spans="1:1" x14ac:dyDescent="0.25">
      <c r="A415" s="8"/>
    </row>
    <row r="416" spans="1:1" x14ac:dyDescent="0.25">
      <c r="A416" s="8"/>
    </row>
    <row r="417" spans="1:1" x14ac:dyDescent="0.25">
      <c r="A417" s="8"/>
    </row>
    <row r="418" spans="1:1" x14ac:dyDescent="0.25">
      <c r="A418" s="8"/>
    </row>
    <row r="419" spans="1:1" x14ac:dyDescent="0.25">
      <c r="A419" s="8"/>
    </row>
    <row r="420" spans="1:1" x14ac:dyDescent="0.25">
      <c r="A420" s="8"/>
    </row>
    <row r="421" spans="1:1" x14ac:dyDescent="0.25">
      <c r="A421" s="8"/>
    </row>
    <row r="422" spans="1:1" x14ac:dyDescent="0.25">
      <c r="A422" s="8"/>
    </row>
    <row r="423" spans="1:1" x14ac:dyDescent="0.25">
      <c r="A423" s="8"/>
    </row>
    <row r="424" spans="1:1" x14ac:dyDescent="0.25">
      <c r="A424" s="8"/>
    </row>
    <row r="425" spans="1:1" x14ac:dyDescent="0.25">
      <c r="A425" s="8"/>
    </row>
    <row r="426" spans="1:1" x14ac:dyDescent="0.25">
      <c r="A426" s="8"/>
    </row>
    <row r="427" spans="1:1" x14ac:dyDescent="0.25">
      <c r="A427" s="8"/>
    </row>
    <row r="428" spans="1:1" x14ac:dyDescent="0.25">
      <c r="A428" s="8"/>
    </row>
    <row r="429" spans="1:1" x14ac:dyDescent="0.25">
      <c r="A429" s="8"/>
    </row>
    <row r="430" spans="1:1" x14ac:dyDescent="0.25">
      <c r="A430" s="8"/>
    </row>
    <row r="431" spans="1:1" x14ac:dyDescent="0.25">
      <c r="A431" s="8"/>
    </row>
    <row r="432" spans="1:1" x14ac:dyDescent="0.25">
      <c r="A432" s="8"/>
    </row>
    <row r="433" spans="1:1" x14ac:dyDescent="0.25">
      <c r="A433" s="8"/>
    </row>
    <row r="434" spans="1:1" x14ac:dyDescent="0.25">
      <c r="A434" s="8"/>
    </row>
    <row r="435" spans="1:1" x14ac:dyDescent="0.25">
      <c r="A435" s="8"/>
    </row>
    <row r="436" spans="1:1" x14ac:dyDescent="0.25">
      <c r="A436" s="8"/>
    </row>
    <row r="437" spans="1:1" x14ac:dyDescent="0.25">
      <c r="A437" s="8"/>
    </row>
    <row r="438" spans="1:1" x14ac:dyDescent="0.25">
      <c r="A438" s="8"/>
    </row>
    <row r="439" spans="1:1" x14ac:dyDescent="0.25">
      <c r="A439" s="8"/>
    </row>
    <row r="440" spans="1:1" x14ac:dyDescent="0.25">
      <c r="A440" s="8"/>
    </row>
    <row r="441" spans="1:1" x14ac:dyDescent="0.25">
      <c r="A441" s="8"/>
    </row>
    <row r="442" spans="1:1" x14ac:dyDescent="0.25">
      <c r="A442" s="8"/>
    </row>
    <row r="443" spans="1:1" x14ac:dyDescent="0.25">
      <c r="A443" s="8"/>
    </row>
    <row r="444" spans="1:1" x14ac:dyDescent="0.25">
      <c r="A444" s="8"/>
    </row>
    <row r="445" spans="1:1" x14ac:dyDescent="0.25">
      <c r="A445" s="8"/>
    </row>
    <row r="446" spans="1:1" x14ac:dyDescent="0.25">
      <c r="A446" s="8"/>
    </row>
    <row r="447" spans="1:1" x14ac:dyDescent="0.25">
      <c r="A447" s="8"/>
    </row>
    <row r="448" spans="1:1" x14ac:dyDescent="0.25">
      <c r="A448" s="8"/>
    </row>
    <row r="449" spans="1:1" x14ac:dyDescent="0.25">
      <c r="A449" s="8"/>
    </row>
    <row r="450" spans="1:1" x14ac:dyDescent="0.25">
      <c r="A450" s="8"/>
    </row>
    <row r="451" spans="1:1" x14ac:dyDescent="0.25">
      <c r="A451" s="8"/>
    </row>
    <row r="452" spans="1:1" x14ac:dyDescent="0.25">
      <c r="A452" s="8"/>
    </row>
    <row r="453" spans="1:1" x14ac:dyDescent="0.25">
      <c r="A453" s="8"/>
    </row>
    <row r="454" spans="1:1" x14ac:dyDescent="0.25">
      <c r="A454" s="8"/>
    </row>
    <row r="455" spans="1:1" x14ac:dyDescent="0.25">
      <c r="A455" s="8"/>
    </row>
    <row r="456" spans="1:1" x14ac:dyDescent="0.25">
      <c r="A456" s="8"/>
    </row>
    <row r="457" spans="1:1" x14ac:dyDescent="0.25">
      <c r="A457" s="8"/>
    </row>
    <row r="458" spans="1:1" x14ac:dyDescent="0.25">
      <c r="A458" s="8"/>
    </row>
    <row r="459" spans="1:1" x14ac:dyDescent="0.25">
      <c r="A459" s="8"/>
    </row>
    <row r="460" spans="1:1" x14ac:dyDescent="0.25">
      <c r="A460" s="8"/>
    </row>
    <row r="461" spans="1:1" x14ac:dyDescent="0.25">
      <c r="A461" s="8"/>
    </row>
    <row r="462" spans="1:1" x14ac:dyDescent="0.25">
      <c r="A462" s="8"/>
    </row>
    <row r="463" spans="1:1" x14ac:dyDescent="0.25">
      <c r="A463" s="8"/>
    </row>
    <row r="464" spans="1:1" x14ac:dyDescent="0.25">
      <c r="A464" s="8"/>
    </row>
    <row r="465" spans="1:1" x14ac:dyDescent="0.25">
      <c r="A465" s="8"/>
    </row>
    <row r="466" spans="1:1" x14ac:dyDescent="0.25">
      <c r="A466" s="8"/>
    </row>
    <row r="467" spans="1:1" x14ac:dyDescent="0.25">
      <c r="A467" s="8"/>
    </row>
    <row r="468" spans="1:1" x14ac:dyDescent="0.25">
      <c r="A468" s="8"/>
    </row>
    <row r="469" spans="1:1" x14ac:dyDescent="0.25">
      <c r="A469" s="8"/>
    </row>
    <row r="470" spans="1:1" x14ac:dyDescent="0.25">
      <c r="A470" s="8"/>
    </row>
    <row r="471" spans="1:1" x14ac:dyDescent="0.25">
      <c r="A471" s="8"/>
    </row>
    <row r="472" spans="1:1" x14ac:dyDescent="0.25">
      <c r="A472" s="8"/>
    </row>
    <row r="473" spans="1:1" x14ac:dyDescent="0.25">
      <c r="A473" s="8"/>
    </row>
    <row r="474" spans="1:1" x14ac:dyDescent="0.25">
      <c r="A474" s="8"/>
    </row>
    <row r="475" spans="1:1" x14ac:dyDescent="0.25">
      <c r="A475" s="8"/>
    </row>
    <row r="476" spans="1:1" x14ac:dyDescent="0.25">
      <c r="A476" s="8"/>
    </row>
    <row r="477" spans="1:1" x14ac:dyDescent="0.25">
      <c r="A477" s="8"/>
    </row>
    <row r="478" spans="1:1" x14ac:dyDescent="0.25">
      <c r="A478" s="8"/>
    </row>
    <row r="479" spans="1:1" x14ac:dyDescent="0.25">
      <c r="A479" s="8"/>
    </row>
    <row r="480" spans="1:1" x14ac:dyDescent="0.25">
      <c r="A480" s="8"/>
    </row>
    <row r="481" spans="1:1" x14ac:dyDescent="0.25">
      <c r="A481" s="8"/>
    </row>
    <row r="482" spans="1:1" x14ac:dyDescent="0.25">
      <c r="A482" s="8"/>
    </row>
    <row r="483" spans="1:1" x14ac:dyDescent="0.25">
      <c r="A483" s="8"/>
    </row>
    <row r="484" spans="1:1" x14ac:dyDescent="0.25">
      <c r="A484" s="8"/>
    </row>
    <row r="485" spans="1:1" x14ac:dyDescent="0.25">
      <c r="A485" s="8"/>
    </row>
    <row r="486" spans="1:1" x14ac:dyDescent="0.25">
      <c r="A486" s="8"/>
    </row>
    <row r="487" spans="1:1" x14ac:dyDescent="0.25">
      <c r="A487" s="8"/>
    </row>
    <row r="488" spans="1:1" x14ac:dyDescent="0.25">
      <c r="A488" s="8"/>
    </row>
    <row r="489" spans="1:1" x14ac:dyDescent="0.25">
      <c r="A489" s="8"/>
    </row>
    <row r="490" spans="1:1" x14ac:dyDescent="0.25">
      <c r="A490" s="8"/>
    </row>
    <row r="491" spans="1:1" x14ac:dyDescent="0.25">
      <c r="A491" s="8"/>
    </row>
    <row r="492" spans="1:1" x14ac:dyDescent="0.25">
      <c r="A492" s="8"/>
    </row>
    <row r="493" spans="1:1" x14ac:dyDescent="0.25">
      <c r="A493" s="8"/>
    </row>
    <row r="494" spans="1:1" x14ac:dyDescent="0.25">
      <c r="A494" s="8"/>
    </row>
    <row r="495" spans="1:1" x14ac:dyDescent="0.25">
      <c r="A495" s="8"/>
    </row>
    <row r="496" spans="1:1" x14ac:dyDescent="0.25">
      <c r="A496" s="8"/>
    </row>
    <row r="497" spans="1:1" x14ac:dyDescent="0.25">
      <c r="A497" s="8"/>
    </row>
    <row r="498" spans="1:1" x14ac:dyDescent="0.25">
      <c r="A498" s="8"/>
    </row>
    <row r="499" spans="1:1" x14ac:dyDescent="0.25">
      <c r="A499" s="8"/>
    </row>
    <row r="500" spans="1:1" x14ac:dyDescent="0.25">
      <c r="A500" s="8"/>
    </row>
    <row r="501" spans="1:1" x14ac:dyDescent="0.25">
      <c r="A501" s="8"/>
    </row>
    <row r="502" spans="1:1" x14ac:dyDescent="0.25">
      <c r="A502" s="8"/>
    </row>
    <row r="503" spans="1:1" x14ac:dyDescent="0.25">
      <c r="A503" s="8"/>
    </row>
    <row r="504" spans="1:1" x14ac:dyDescent="0.25">
      <c r="A504" s="8"/>
    </row>
    <row r="505" spans="1:1" x14ac:dyDescent="0.25">
      <c r="A505" s="8"/>
    </row>
    <row r="506" spans="1:1" x14ac:dyDescent="0.25">
      <c r="A506" s="8"/>
    </row>
    <row r="507" spans="1:1" x14ac:dyDescent="0.25">
      <c r="A507" s="8"/>
    </row>
    <row r="508" spans="1:1" x14ac:dyDescent="0.25">
      <c r="A508" s="8"/>
    </row>
    <row r="509" spans="1:1" x14ac:dyDescent="0.25">
      <c r="A509" s="8"/>
    </row>
    <row r="510" spans="1:1" x14ac:dyDescent="0.25">
      <c r="A510" s="8"/>
    </row>
    <row r="511" spans="1:1" x14ac:dyDescent="0.25">
      <c r="A511" s="8"/>
    </row>
    <row r="512" spans="1:1" x14ac:dyDescent="0.25">
      <c r="A512" s="8"/>
    </row>
    <row r="513" spans="1:1" x14ac:dyDescent="0.25">
      <c r="A513" s="8"/>
    </row>
    <row r="514" spans="1:1" x14ac:dyDescent="0.25">
      <c r="A514" s="8"/>
    </row>
    <row r="515" spans="1:1" x14ac:dyDescent="0.25">
      <c r="A515" s="8"/>
    </row>
    <row r="516" spans="1:1" x14ac:dyDescent="0.25">
      <c r="A516" s="8"/>
    </row>
    <row r="517" spans="1:1" x14ac:dyDescent="0.25">
      <c r="A517" s="8"/>
    </row>
    <row r="518" spans="1:1" x14ac:dyDescent="0.25">
      <c r="A518" s="8"/>
    </row>
    <row r="519" spans="1:1" x14ac:dyDescent="0.25">
      <c r="A519" s="8"/>
    </row>
    <row r="520" spans="1:1" x14ac:dyDescent="0.25">
      <c r="A520" s="8"/>
    </row>
    <row r="521" spans="1:1" x14ac:dyDescent="0.25">
      <c r="A521" s="8"/>
    </row>
    <row r="522" spans="1:1" x14ac:dyDescent="0.25">
      <c r="A522" s="8"/>
    </row>
    <row r="523" spans="1:1" x14ac:dyDescent="0.25">
      <c r="A523" s="8"/>
    </row>
    <row r="524" spans="1:1" x14ac:dyDescent="0.25">
      <c r="A524" s="8"/>
    </row>
    <row r="525" spans="1:1" x14ac:dyDescent="0.25">
      <c r="A525" s="8"/>
    </row>
    <row r="526" spans="1:1" x14ac:dyDescent="0.25">
      <c r="A526" s="8"/>
    </row>
    <row r="527" spans="1:1" x14ac:dyDescent="0.25">
      <c r="A527" s="8"/>
    </row>
    <row r="528" spans="1:1" x14ac:dyDescent="0.25">
      <c r="A528" s="8"/>
    </row>
    <row r="529" spans="1:1" x14ac:dyDescent="0.25">
      <c r="A529" s="8"/>
    </row>
    <row r="530" spans="1:1" x14ac:dyDescent="0.25">
      <c r="A530" s="8"/>
    </row>
    <row r="531" spans="1:1" x14ac:dyDescent="0.25">
      <c r="A531" s="8"/>
    </row>
    <row r="532" spans="1:1" x14ac:dyDescent="0.25">
      <c r="A532" s="8"/>
    </row>
    <row r="533" spans="1:1" x14ac:dyDescent="0.25">
      <c r="A533" s="8"/>
    </row>
    <row r="534" spans="1:1" x14ac:dyDescent="0.25">
      <c r="A534" s="8"/>
    </row>
    <row r="535" spans="1:1" x14ac:dyDescent="0.25">
      <c r="A535" s="8"/>
    </row>
    <row r="536" spans="1:1" x14ac:dyDescent="0.25">
      <c r="A536" s="8"/>
    </row>
    <row r="537" spans="1:1" x14ac:dyDescent="0.25">
      <c r="A537" s="8"/>
    </row>
    <row r="538" spans="1:1" x14ac:dyDescent="0.25">
      <c r="A538" s="8"/>
    </row>
    <row r="539" spans="1:1" x14ac:dyDescent="0.25">
      <c r="A539" s="8"/>
    </row>
    <row r="540" spans="1:1" x14ac:dyDescent="0.25">
      <c r="A540" s="8"/>
    </row>
    <row r="541" spans="1:1" x14ac:dyDescent="0.25">
      <c r="A541" s="8"/>
    </row>
    <row r="542" spans="1:1" x14ac:dyDescent="0.25">
      <c r="A542" s="8"/>
    </row>
    <row r="543" spans="1:1" x14ac:dyDescent="0.25">
      <c r="A543" s="8"/>
    </row>
    <row r="544" spans="1:1" x14ac:dyDescent="0.25">
      <c r="A544" s="8"/>
    </row>
    <row r="545" spans="1:1" x14ac:dyDescent="0.25">
      <c r="A545" s="8"/>
    </row>
    <row r="546" spans="1:1" x14ac:dyDescent="0.25">
      <c r="A546" s="8"/>
    </row>
    <row r="547" spans="1:1" x14ac:dyDescent="0.25">
      <c r="A547" s="8"/>
    </row>
    <row r="548" spans="1:1" x14ac:dyDescent="0.25">
      <c r="A548" s="8"/>
    </row>
    <row r="549" spans="1:1" x14ac:dyDescent="0.25">
      <c r="A549" s="8"/>
    </row>
    <row r="550" spans="1:1" x14ac:dyDescent="0.25">
      <c r="A550" s="8"/>
    </row>
    <row r="551" spans="1:1" x14ac:dyDescent="0.25">
      <c r="A551" s="8"/>
    </row>
    <row r="552" spans="1:1" x14ac:dyDescent="0.25">
      <c r="A552" s="8"/>
    </row>
    <row r="553" spans="1:1" x14ac:dyDescent="0.25">
      <c r="A553" s="8"/>
    </row>
    <row r="554" spans="1:1" x14ac:dyDescent="0.25">
      <c r="A554" s="8"/>
    </row>
    <row r="555" spans="1:1" x14ac:dyDescent="0.25">
      <c r="A555" s="8"/>
    </row>
    <row r="556" spans="1:1" x14ac:dyDescent="0.25">
      <c r="A556" s="8"/>
    </row>
    <row r="557" spans="1:1" x14ac:dyDescent="0.25">
      <c r="A557" s="8"/>
    </row>
    <row r="558" spans="1:1" x14ac:dyDescent="0.25">
      <c r="A558" s="8"/>
    </row>
    <row r="559" spans="1:1" x14ac:dyDescent="0.25">
      <c r="A559" s="8"/>
    </row>
    <row r="560" spans="1:1" x14ac:dyDescent="0.25">
      <c r="A560" s="8"/>
    </row>
    <row r="561" spans="1:1" x14ac:dyDescent="0.25">
      <c r="A561" s="8"/>
    </row>
    <row r="562" spans="1:1" x14ac:dyDescent="0.25">
      <c r="A562" s="8"/>
    </row>
    <row r="563" spans="1:1" x14ac:dyDescent="0.25">
      <c r="A563" s="8"/>
    </row>
    <row r="564" spans="1:1" x14ac:dyDescent="0.25">
      <c r="A564" s="8"/>
    </row>
    <row r="565" spans="1:1" x14ac:dyDescent="0.25">
      <c r="A565" s="8"/>
    </row>
    <row r="566" spans="1:1" x14ac:dyDescent="0.25">
      <c r="A566" s="8"/>
    </row>
    <row r="567" spans="1:1" x14ac:dyDescent="0.25">
      <c r="A567" s="8"/>
    </row>
    <row r="568" spans="1:1" x14ac:dyDescent="0.25">
      <c r="A568" s="8"/>
    </row>
    <row r="569" spans="1:1" x14ac:dyDescent="0.25">
      <c r="A569" s="8"/>
    </row>
    <row r="570" spans="1:1" x14ac:dyDescent="0.25">
      <c r="A570" s="8"/>
    </row>
    <row r="571" spans="1:1" x14ac:dyDescent="0.25">
      <c r="A571" s="8"/>
    </row>
    <row r="572" spans="1:1" x14ac:dyDescent="0.25">
      <c r="A572" s="8"/>
    </row>
    <row r="573" spans="1:1" x14ac:dyDescent="0.25">
      <c r="A573" s="8"/>
    </row>
    <row r="574" spans="1:1" x14ac:dyDescent="0.25">
      <c r="A574" s="8"/>
    </row>
    <row r="575" spans="1:1" x14ac:dyDescent="0.25">
      <c r="A575" s="8"/>
    </row>
    <row r="576" spans="1:1" x14ac:dyDescent="0.25">
      <c r="A576" s="8"/>
    </row>
    <row r="577" spans="1:1" x14ac:dyDescent="0.25">
      <c r="A577" s="8"/>
    </row>
    <row r="578" spans="1:1" x14ac:dyDescent="0.25">
      <c r="A578" s="8"/>
    </row>
    <row r="579" spans="1:1" x14ac:dyDescent="0.25">
      <c r="A579" s="8"/>
    </row>
    <row r="580" spans="1:1" x14ac:dyDescent="0.25">
      <c r="A580" s="8"/>
    </row>
    <row r="581" spans="1:1" x14ac:dyDescent="0.25">
      <c r="A581" s="8"/>
    </row>
    <row r="582" spans="1:1" x14ac:dyDescent="0.25">
      <c r="A582" s="8"/>
    </row>
    <row r="583" spans="1:1" x14ac:dyDescent="0.25">
      <c r="A583" s="8"/>
    </row>
    <row r="584" spans="1:1" x14ac:dyDescent="0.25">
      <c r="A584" s="8"/>
    </row>
    <row r="585" spans="1:1" x14ac:dyDescent="0.25">
      <c r="A585" s="8"/>
    </row>
    <row r="586" spans="1:1" x14ac:dyDescent="0.25">
      <c r="A586" s="8"/>
    </row>
    <row r="587" spans="1:1" x14ac:dyDescent="0.25">
      <c r="A587" s="8"/>
    </row>
    <row r="588" spans="1:1" x14ac:dyDescent="0.25">
      <c r="A588" s="8"/>
    </row>
    <row r="589" spans="1:1" x14ac:dyDescent="0.25">
      <c r="A589" s="8"/>
    </row>
    <row r="590" spans="1:1" x14ac:dyDescent="0.25">
      <c r="A590" s="8"/>
    </row>
    <row r="591" spans="1:1" x14ac:dyDescent="0.25">
      <c r="A591" s="8"/>
    </row>
    <row r="592" spans="1:1" x14ac:dyDescent="0.25">
      <c r="A592" s="8"/>
    </row>
    <row r="593" spans="1:1" x14ac:dyDescent="0.25">
      <c r="A593" s="8"/>
    </row>
    <row r="594" spans="1:1" x14ac:dyDescent="0.25">
      <c r="A594" s="8"/>
    </row>
    <row r="595" spans="1:1" x14ac:dyDescent="0.25">
      <c r="A595" s="8"/>
    </row>
    <row r="596" spans="1:1" x14ac:dyDescent="0.25">
      <c r="A596" s="8"/>
    </row>
    <row r="597" spans="1:1" x14ac:dyDescent="0.25">
      <c r="A597" s="8"/>
    </row>
    <row r="598" spans="1:1" x14ac:dyDescent="0.25">
      <c r="A598" s="8"/>
    </row>
    <row r="599" spans="1:1" x14ac:dyDescent="0.25">
      <c r="A599" s="8"/>
    </row>
    <row r="600" spans="1:1" x14ac:dyDescent="0.25">
      <c r="A600" s="8"/>
    </row>
    <row r="601" spans="1:1" x14ac:dyDescent="0.25">
      <c r="A601" s="8"/>
    </row>
    <row r="602" spans="1:1" x14ac:dyDescent="0.25">
      <c r="A602" s="8"/>
    </row>
    <row r="603" spans="1:1" x14ac:dyDescent="0.25">
      <c r="A603" s="8"/>
    </row>
    <row r="604" spans="1:1" x14ac:dyDescent="0.25">
      <c r="A604" s="8"/>
    </row>
    <row r="605" spans="1:1" x14ac:dyDescent="0.25">
      <c r="A605" s="8"/>
    </row>
    <row r="606" spans="1:1" x14ac:dyDescent="0.25">
      <c r="A606" s="8"/>
    </row>
    <row r="607" spans="1:1" x14ac:dyDescent="0.25">
      <c r="A607" s="8"/>
    </row>
    <row r="608" spans="1:1" x14ac:dyDescent="0.25">
      <c r="A608" s="8"/>
    </row>
    <row r="609" spans="1:1" x14ac:dyDescent="0.25">
      <c r="A609" s="8"/>
    </row>
    <row r="610" spans="1:1" x14ac:dyDescent="0.25">
      <c r="A610" s="8"/>
    </row>
    <row r="611" spans="1:1" x14ac:dyDescent="0.25">
      <c r="A611" s="8"/>
    </row>
    <row r="612" spans="1:1" x14ac:dyDescent="0.25">
      <c r="A612" s="8"/>
    </row>
    <row r="613" spans="1:1" x14ac:dyDescent="0.25">
      <c r="A613" s="8"/>
    </row>
    <row r="614" spans="1:1" x14ac:dyDescent="0.25">
      <c r="A614" s="8"/>
    </row>
    <row r="615" spans="1:1" x14ac:dyDescent="0.25">
      <c r="A615" s="8"/>
    </row>
    <row r="616" spans="1:1" x14ac:dyDescent="0.25">
      <c r="A616" s="8"/>
    </row>
    <row r="617" spans="1:1" x14ac:dyDescent="0.25">
      <c r="A617" s="8"/>
    </row>
    <row r="618" spans="1:1" x14ac:dyDescent="0.25">
      <c r="A618" s="8"/>
    </row>
    <row r="619" spans="1:1" x14ac:dyDescent="0.25">
      <c r="A619" s="8"/>
    </row>
    <row r="620" spans="1:1" x14ac:dyDescent="0.25">
      <c r="A620" s="8"/>
    </row>
    <row r="621" spans="1:1" x14ac:dyDescent="0.25">
      <c r="A621" s="8"/>
    </row>
    <row r="622" spans="1:1" x14ac:dyDescent="0.25">
      <c r="A622" s="8"/>
    </row>
    <row r="623" spans="1:1" x14ac:dyDescent="0.25">
      <c r="A623" s="8"/>
    </row>
    <row r="624" spans="1:1" x14ac:dyDescent="0.25">
      <c r="A624" s="8"/>
    </row>
    <row r="625" spans="1:1" x14ac:dyDescent="0.25">
      <c r="A625" s="8"/>
    </row>
    <row r="626" spans="1:1" x14ac:dyDescent="0.25">
      <c r="A626" s="8"/>
    </row>
    <row r="627" spans="1:1" x14ac:dyDescent="0.25">
      <c r="A627" s="8"/>
    </row>
    <row r="628" spans="1:1" x14ac:dyDescent="0.25">
      <c r="A628" s="8"/>
    </row>
    <row r="629" spans="1:1" x14ac:dyDescent="0.25">
      <c r="A629" s="8"/>
    </row>
    <row r="630" spans="1:1" x14ac:dyDescent="0.25">
      <c r="A630" s="8"/>
    </row>
    <row r="631" spans="1:1" x14ac:dyDescent="0.25">
      <c r="A631" s="8"/>
    </row>
    <row r="632" spans="1:1" x14ac:dyDescent="0.25">
      <c r="A632" s="8"/>
    </row>
    <row r="633" spans="1:1" x14ac:dyDescent="0.25">
      <c r="A633" s="8"/>
    </row>
    <row r="634" spans="1:1" x14ac:dyDescent="0.25">
      <c r="A634" s="8"/>
    </row>
    <row r="635" spans="1:1" x14ac:dyDescent="0.25">
      <c r="A635" s="8"/>
    </row>
    <row r="636" spans="1:1" x14ac:dyDescent="0.25">
      <c r="A636" s="8"/>
    </row>
    <row r="637" spans="1:1" x14ac:dyDescent="0.25">
      <c r="A637" s="8"/>
    </row>
    <row r="638" spans="1:1" x14ac:dyDescent="0.25">
      <c r="A638" s="8"/>
    </row>
    <row r="639" spans="1:1" x14ac:dyDescent="0.25">
      <c r="A639" s="8"/>
    </row>
    <row r="640" spans="1:1" x14ac:dyDescent="0.25">
      <c r="A640" s="8"/>
    </row>
    <row r="641" spans="1:1" x14ac:dyDescent="0.25">
      <c r="A641" s="8"/>
    </row>
    <row r="642" spans="1:1" x14ac:dyDescent="0.25">
      <c r="A642" s="8"/>
    </row>
    <row r="643" spans="1:1" x14ac:dyDescent="0.25">
      <c r="A643" s="8"/>
    </row>
    <row r="644" spans="1:1" x14ac:dyDescent="0.25">
      <c r="A644" s="8"/>
    </row>
    <row r="645" spans="1:1" x14ac:dyDescent="0.25">
      <c r="A645" s="8"/>
    </row>
    <row r="646" spans="1:1" x14ac:dyDescent="0.25">
      <c r="A646" s="8"/>
    </row>
    <row r="647" spans="1:1" x14ac:dyDescent="0.25">
      <c r="A647" s="8"/>
    </row>
    <row r="648" spans="1:1" x14ac:dyDescent="0.25">
      <c r="A648" s="8"/>
    </row>
    <row r="649" spans="1:1" x14ac:dyDescent="0.25">
      <c r="A649" s="8"/>
    </row>
    <row r="650" spans="1:1" x14ac:dyDescent="0.25">
      <c r="A650" s="8"/>
    </row>
    <row r="651" spans="1:1" x14ac:dyDescent="0.25">
      <c r="A651" s="8"/>
    </row>
    <row r="652" spans="1:1" x14ac:dyDescent="0.25">
      <c r="A652" s="8"/>
    </row>
    <row r="653" spans="1:1" x14ac:dyDescent="0.25">
      <c r="A653" s="8"/>
    </row>
    <row r="654" spans="1:1" x14ac:dyDescent="0.25">
      <c r="A654" s="8"/>
    </row>
    <row r="655" spans="1:1" x14ac:dyDescent="0.25">
      <c r="A655" s="8"/>
    </row>
    <row r="656" spans="1:1" x14ac:dyDescent="0.25">
      <c r="A656" s="8"/>
    </row>
    <row r="657" spans="1:1" x14ac:dyDescent="0.25">
      <c r="A657" s="8"/>
    </row>
    <row r="658" spans="1:1" x14ac:dyDescent="0.25">
      <c r="A658" s="8"/>
    </row>
    <row r="659" spans="1:1" x14ac:dyDescent="0.25">
      <c r="A659" s="8"/>
    </row>
    <row r="660" spans="1:1" x14ac:dyDescent="0.25">
      <c r="A660" s="8"/>
    </row>
    <row r="661" spans="1:1" x14ac:dyDescent="0.25">
      <c r="A661" s="8"/>
    </row>
    <row r="662" spans="1:1" x14ac:dyDescent="0.25">
      <c r="A662" s="8"/>
    </row>
    <row r="663" spans="1:1" x14ac:dyDescent="0.25">
      <c r="A663" s="8"/>
    </row>
    <row r="664" spans="1:1" x14ac:dyDescent="0.25">
      <c r="A664" s="8"/>
    </row>
    <row r="665" spans="1:1" x14ac:dyDescent="0.25">
      <c r="A665" s="8"/>
    </row>
    <row r="666" spans="1:1" x14ac:dyDescent="0.25">
      <c r="A666" s="8"/>
    </row>
    <row r="667" spans="1:1" x14ac:dyDescent="0.25">
      <c r="A667" s="8"/>
    </row>
    <row r="668" spans="1:1" x14ac:dyDescent="0.25">
      <c r="A668" s="8"/>
    </row>
    <row r="669" spans="1:1" x14ac:dyDescent="0.25">
      <c r="A669" s="8"/>
    </row>
    <row r="670" spans="1:1" x14ac:dyDescent="0.25">
      <c r="A670" s="8"/>
    </row>
    <row r="671" spans="1:1" x14ac:dyDescent="0.25">
      <c r="A671" s="8"/>
    </row>
    <row r="672" spans="1:1" x14ac:dyDescent="0.25">
      <c r="A672" s="8"/>
    </row>
    <row r="673" spans="1:1" x14ac:dyDescent="0.25">
      <c r="A673" s="8"/>
    </row>
    <row r="674" spans="1:1" x14ac:dyDescent="0.25">
      <c r="A674" s="8"/>
    </row>
    <row r="675" spans="1:1" x14ac:dyDescent="0.25">
      <c r="A675" s="8"/>
    </row>
    <row r="676" spans="1:1" x14ac:dyDescent="0.25">
      <c r="A676" s="8"/>
    </row>
    <row r="677" spans="1:1" x14ac:dyDescent="0.25">
      <c r="A677" s="8"/>
    </row>
    <row r="678" spans="1:1" x14ac:dyDescent="0.25">
      <c r="A678" s="8"/>
    </row>
    <row r="679" spans="1:1" x14ac:dyDescent="0.25">
      <c r="A679" s="8"/>
    </row>
    <row r="680" spans="1:1" x14ac:dyDescent="0.25">
      <c r="A680" s="8"/>
    </row>
    <row r="681" spans="1:1" x14ac:dyDescent="0.25">
      <c r="A681" s="8"/>
    </row>
    <row r="682" spans="1:1" x14ac:dyDescent="0.25">
      <c r="A682" s="8"/>
    </row>
    <row r="683" spans="1:1" x14ac:dyDescent="0.25">
      <c r="A683" s="8"/>
    </row>
    <row r="684" spans="1:1" x14ac:dyDescent="0.25">
      <c r="A684" s="8"/>
    </row>
    <row r="685" spans="1:1" x14ac:dyDescent="0.25">
      <c r="A685" s="8"/>
    </row>
    <row r="686" spans="1:1" x14ac:dyDescent="0.25">
      <c r="A686" s="8"/>
    </row>
    <row r="687" spans="1:1" x14ac:dyDescent="0.25">
      <c r="A687" s="8"/>
    </row>
    <row r="688" spans="1:1" x14ac:dyDescent="0.25">
      <c r="A688" s="8"/>
    </row>
    <row r="689" spans="1:1" x14ac:dyDescent="0.25">
      <c r="A689" s="8"/>
    </row>
    <row r="690" spans="1:1" x14ac:dyDescent="0.25">
      <c r="A690" s="8"/>
    </row>
    <row r="691" spans="1:1" x14ac:dyDescent="0.25">
      <c r="A691" s="8"/>
    </row>
    <row r="692" spans="1:1" x14ac:dyDescent="0.25">
      <c r="A692" s="8"/>
    </row>
    <row r="693" spans="1:1" x14ac:dyDescent="0.25">
      <c r="A693" s="8"/>
    </row>
    <row r="694" spans="1:1" x14ac:dyDescent="0.25">
      <c r="A694" s="8"/>
    </row>
    <row r="695" spans="1:1" x14ac:dyDescent="0.25">
      <c r="A695" s="8"/>
    </row>
    <row r="696" spans="1:1" x14ac:dyDescent="0.25">
      <c r="A696" s="8"/>
    </row>
    <row r="697" spans="1:1" x14ac:dyDescent="0.25">
      <c r="A697" s="8"/>
    </row>
    <row r="698" spans="1:1" x14ac:dyDescent="0.25">
      <c r="A698" s="8"/>
    </row>
    <row r="699" spans="1:1" x14ac:dyDescent="0.25">
      <c r="A699" s="8"/>
    </row>
    <row r="700" spans="1:1" x14ac:dyDescent="0.25">
      <c r="A700" s="8"/>
    </row>
    <row r="701" spans="1:1" x14ac:dyDescent="0.25">
      <c r="A701" s="8"/>
    </row>
    <row r="702" spans="1:1" x14ac:dyDescent="0.25">
      <c r="A702" s="8"/>
    </row>
    <row r="703" spans="1:1" x14ac:dyDescent="0.25">
      <c r="A703" s="8"/>
    </row>
    <row r="704" spans="1:1" x14ac:dyDescent="0.25">
      <c r="A704" s="8"/>
    </row>
    <row r="705" spans="1:1" x14ac:dyDescent="0.25">
      <c r="A705" s="8"/>
    </row>
    <row r="706" spans="1:1" x14ac:dyDescent="0.25">
      <c r="A706" s="8"/>
    </row>
    <row r="707" spans="1:1" x14ac:dyDescent="0.25">
      <c r="A707" s="8"/>
    </row>
    <row r="708" spans="1:1" x14ac:dyDescent="0.25">
      <c r="A708" s="8"/>
    </row>
    <row r="709" spans="1:1" x14ac:dyDescent="0.25">
      <c r="A709" s="8"/>
    </row>
    <row r="710" spans="1:1" x14ac:dyDescent="0.25">
      <c r="A710" s="8"/>
    </row>
    <row r="711" spans="1:1" x14ac:dyDescent="0.25">
      <c r="A711" s="8"/>
    </row>
    <row r="712" spans="1:1" x14ac:dyDescent="0.25">
      <c r="A712" s="8"/>
    </row>
    <row r="713" spans="1:1" x14ac:dyDescent="0.25">
      <c r="A713" s="8"/>
    </row>
    <row r="714" spans="1:1" x14ac:dyDescent="0.25">
      <c r="A714" s="8"/>
    </row>
    <row r="715" spans="1:1" x14ac:dyDescent="0.25">
      <c r="A715" s="8"/>
    </row>
    <row r="716" spans="1:1" x14ac:dyDescent="0.25">
      <c r="A716" s="8"/>
    </row>
    <row r="717" spans="1:1" x14ac:dyDescent="0.25">
      <c r="A717" s="8"/>
    </row>
    <row r="718" spans="1:1" x14ac:dyDescent="0.25">
      <c r="A718" s="8"/>
    </row>
    <row r="719" spans="1:1" x14ac:dyDescent="0.25">
      <c r="A719" s="8"/>
    </row>
    <row r="720" spans="1:1" x14ac:dyDescent="0.25">
      <c r="A720" s="8"/>
    </row>
    <row r="721" spans="1:1" x14ac:dyDescent="0.25">
      <c r="A721" s="8"/>
    </row>
    <row r="722" spans="1:1" x14ac:dyDescent="0.25">
      <c r="A722" s="8"/>
    </row>
    <row r="723" spans="1:1" x14ac:dyDescent="0.25">
      <c r="A723" s="8"/>
    </row>
    <row r="724" spans="1:1" x14ac:dyDescent="0.25">
      <c r="A724" s="8"/>
    </row>
    <row r="725" spans="1:1" x14ac:dyDescent="0.25">
      <c r="A725" s="8"/>
    </row>
    <row r="726" spans="1:1" x14ac:dyDescent="0.25">
      <c r="A726" s="8"/>
    </row>
    <row r="727" spans="1:1" x14ac:dyDescent="0.25">
      <c r="A727" s="8"/>
    </row>
    <row r="728" spans="1:1" x14ac:dyDescent="0.25">
      <c r="A728" s="8"/>
    </row>
    <row r="729" spans="1:1" x14ac:dyDescent="0.25">
      <c r="A729" s="8"/>
    </row>
    <row r="730" spans="1:1" x14ac:dyDescent="0.25">
      <c r="A730" s="8"/>
    </row>
    <row r="731" spans="1:1" x14ac:dyDescent="0.25">
      <c r="A731" s="8"/>
    </row>
    <row r="732" spans="1:1" x14ac:dyDescent="0.25">
      <c r="A732" s="8"/>
    </row>
    <row r="733" spans="1:1" x14ac:dyDescent="0.25">
      <c r="A733" s="8"/>
    </row>
    <row r="734" spans="1:1" x14ac:dyDescent="0.25">
      <c r="A734" s="8"/>
    </row>
    <row r="735" spans="1:1" x14ac:dyDescent="0.25">
      <c r="A735" s="8"/>
    </row>
    <row r="736" spans="1:1" x14ac:dyDescent="0.25">
      <c r="A736" s="8"/>
    </row>
    <row r="737" spans="1:1" x14ac:dyDescent="0.25">
      <c r="A737" s="8"/>
    </row>
    <row r="738" spans="1:1" x14ac:dyDescent="0.25">
      <c r="A738" s="8"/>
    </row>
    <row r="739" spans="1:1" x14ac:dyDescent="0.25">
      <c r="A739" s="8"/>
    </row>
    <row r="740" spans="1:1" x14ac:dyDescent="0.25">
      <c r="A740" s="8"/>
    </row>
    <row r="741" spans="1:1" x14ac:dyDescent="0.25">
      <c r="A741" s="8"/>
    </row>
    <row r="742" spans="1:1" x14ac:dyDescent="0.25">
      <c r="A742" s="8"/>
    </row>
    <row r="743" spans="1:1" x14ac:dyDescent="0.25">
      <c r="A743" s="8"/>
    </row>
    <row r="744" spans="1:1" x14ac:dyDescent="0.25">
      <c r="A744" s="8"/>
    </row>
    <row r="745" spans="1:1" x14ac:dyDescent="0.25">
      <c r="A745" s="8"/>
    </row>
    <row r="746" spans="1:1" x14ac:dyDescent="0.25">
      <c r="A746" s="8"/>
    </row>
    <row r="747" spans="1:1" x14ac:dyDescent="0.25">
      <c r="A747" s="8"/>
    </row>
    <row r="748" spans="1:1" x14ac:dyDescent="0.25">
      <c r="A748" s="8"/>
    </row>
    <row r="749" spans="1:1" x14ac:dyDescent="0.25">
      <c r="A749" s="8"/>
    </row>
    <row r="750" spans="1:1" x14ac:dyDescent="0.25">
      <c r="A750" s="8"/>
    </row>
    <row r="751" spans="1:1" x14ac:dyDescent="0.25">
      <c r="A751" s="8"/>
    </row>
    <row r="752" spans="1:1" x14ac:dyDescent="0.25">
      <c r="A752" s="8"/>
    </row>
    <row r="753" spans="1:1" x14ac:dyDescent="0.25">
      <c r="A753" s="8"/>
    </row>
    <row r="754" spans="1:1" x14ac:dyDescent="0.25">
      <c r="A754" s="8"/>
    </row>
    <row r="755" spans="1:1" x14ac:dyDescent="0.25">
      <c r="A755" s="8"/>
    </row>
    <row r="756" spans="1:1" x14ac:dyDescent="0.25">
      <c r="A756" s="8"/>
    </row>
    <row r="757" spans="1:1" x14ac:dyDescent="0.25">
      <c r="A757" s="8"/>
    </row>
    <row r="758" spans="1:1" x14ac:dyDescent="0.25">
      <c r="A758" s="8"/>
    </row>
    <row r="759" spans="1:1" x14ac:dyDescent="0.25">
      <c r="A759" s="8"/>
    </row>
    <row r="760" spans="1:1" x14ac:dyDescent="0.25">
      <c r="A760" s="8"/>
    </row>
    <row r="761" spans="1:1" x14ac:dyDescent="0.25">
      <c r="A761" s="8"/>
    </row>
    <row r="762" spans="1:1" x14ac:dyDescent="0.25">
      <c r="A762" s="8"/>
    </row>
    <row r="763" spans="1:1" x14ac:dyDescent="0.25">
      <c r="A763" s="8"/>
    </row>
    <row r="764" spans="1:1" x14ac:dyDescent="0.25">
      <c r="A764" s="8"/>
    </row>
    <row r="765" spans="1:1" x14ac:dyDescent="0.25">
      <c r="A765" s="8"/>
    </row>
    <row r="766" spans="1:1" x14ac:dyDescent="0.25">
      <c r="A766" s="8"/>
    </row>
    <row r="767" spans="1:1" x14ac:dyDescent="0.25">
      <c r="A767" s="8"/>
    </row>
    <row r="768" spans="1:1" x14ac:dyDescent="0.25">
      <c r="A768" s="8"/>
    </row>
    <row r="769" spans="1:1" x14ac:dyDescent="0.25">
      <c r="A769" s="8"/>
    </row>
    <row r="770" spans="1:1" x14ac:dyDescent="0.25">
      <c r="A770" s="8"/>
    </row>
    <row r="771" spans="1:1" x14ac:dyDescent="0.25">
      <c r="A771" s="8"/>
    </row>
    <row r="772" spans="1:1" x14ac:dyDescent="0.25">
      <c r="A772" s="8"/>
    </row>
    <row r="773" spans="1:1" x14ac:dyDescent="0.25">
      <c r="A773" s="8"/>
    </row>
    <row r="774" spans="1:1" x14ac:dyDescent="0.25">
      <c r="A774" s="8"/>
    </row>
    <row r="775" spans="1:1" x14ac:dyDescent="0.25">
      <c r="A775" s="8"/>
    </row>
    <row r="776" spans="1:1" x14ac:dyDescent="0.25">
      <c r="A776" s="8"/>
    </row>
    <row r="777" spans="1:1" x14ac:dyDescent="0.25">
      <c r="A777" s="8"/>
    </row>
    <row r="778" spans="1:1" x14ac:dyDescent="0.25">
      <c r="A778" s="8"/>
    </row>
    <row r="779" spans="1:1" x14ac:dyDescent="0.25">
      <c r="A779" s="8"/>
    </row>
    <row r="780" spans="1:1" x14ac:dyDescent="0.25">
      <c r="A780" s="8"/>
    </row>
    <row r="781" spans="1:1" x14ac:dyDescent="0.25">
      <c r="A781" s="8"/>
    </row>
    <row r="782" spans="1:1" x14ac:dyDescent="0.25">
      <c r="A782" s="8"/>
    </row>
    <row r="783" spans="1:1" x14ac:dyDescent="0.25">
      <c r="A783" s="8"/>
    </row>
    <row r="784" spans="1:1" x14ac:dyDescent="0.25">
      <c r="A784" s="8"/>
    </row>
    <row r="785" spans="1:1" x14ac:dyDescent="0.25">
      <c r="A785" s="8"/>
    </row>
    <row r="786" spans="1:1" x14ac:dyDescent="0.25">
      <c r="A786" s="8"/>
    </row>
    <row r="787" spans="1:1" x14ac:dyDescent="0.25">
      <c r="A787" s="8"/>
    </row>
    <row r="788" spans="1:1" x14ac:dyDescent="0.25">
      <c r="A788" s="8"/>
    </row>
    <row r="789" spans="1:1" x14ac:dyDescent="0.25">
      <c r="A789" s="8"/>
    </row>
    <row r="790" spans="1:1" x14ac:dyDescent="0.25">
      <c r="A790" s="8"/>
    </row>
    <row r="791" spans="1:1" x14ac:dyDescent="0.25">
      <c r="A791" s="8"/>
    </row>
    <row r="792" spans="1:1" x14ac:dyDescent="0.25">
      <c r="A792" s="8"/>
    </row>
    <row r="793" spans="1:1" x14ac:dyDescent="0.25">
      <c r="A793" s="8"/>
    </row>
    <row r="794" spans="1:1" x14ac:dyDescent="0.25">
      <c r="A794" s="8"/>
    </row>
    <row r="795" spans="1:1" x14ac:dyDescent="0.25">
      <c r="A795" s="8"/>
    </row>
    <row r="796" spans="1:1" x14ac:dyDescent="0.25">
      <c r="A796" s="8"/>
    </row>
    <row r="797" spans="1:1" x14ac:dyDescent="0.25">
      <c r="A797" s="8"/>
    </row>
    <row r="798" spans="1:1" x14ac:dyDescent="0.25">
      <c r="A798" s="8"/>
    </row>
    <row r="799" spans="1:1" x14ac:dyDescent="0.25">
      <c r="A799" s="8"/>
    </row>
    <row r="800" spans="1:1" x14ac:dyDescent="0.25">
      <c r="A800" s="8"/>
    </row>
    <row r="801" spans="1:1" x14ac:dyDescent="0.25">
      <c r="A801" s="8"/>
    </row>
    <row r="802" spans="1:1" x14ac:dyDescent="0.25">
      <c r="A802" s="8"/>
    </row>
    <row r="803" spans="1:1" x14ac:dyDescent="0.25">
      <c r="A803" s="8"/>
    </row>
    <row r="804" spans="1:1" x14ac:dyDescent="0.25">
      <c r="A804" s="8"/>
    </row>
    <row r="805" spans="1:1" x14ac:dyDescent="0.25">
      <c r="A805" s="8"/>
    </row>
    <row r="806" spans="1:1" x14ac:dyDescent="0.25">
      <c r="A806" s="8"/>
    </row>
    <row r="807" spans="1:1" x14ac:dyDescent="0.25">
      <c r="A807" s="8"/>
    </row>
    <row r="808" spans="1:1" x14ac:dyDescent="0.25">
      <c r="A808" s="8"/>
    </row>
    <row r="809" spans="1:1" x14ac:dyDescent="0.25">
      <c r="A809" s="8"/>
    </row>
    <row r="810" spans="1:1" x14ac:dyDescent="0.25">
      <c r="A810" s="8"/>
    </row>
    <row r="811" spans="1:1" x14ac:dyDescent="0.25">
      <c r="A811" s="8"/>
    </row>
    <row r="812" spans="1:1" x14ac:dyDescent="0.25">
      <c r="A812" s="8"/>
    </row>
    <row r="813" spans="1:1" x14ac:dyDescent="0.25">
      <c r="A813" s="8"/>
    </row>
    <row r="814" spans="1:1" x14ac:dyDescent="0.25">
      <c r="A814" s="8"/>
    </row>
    <row r="815" spans="1:1" x14ac:dyDescent="0.25">
      <c r="A815" s="8"/>
    </row>
    <row r="816" spans="1:1" x14ac:dyDescent="0.25">
      <c r="A816" s="8"/>
    </row>
    <row r="817" spans="1:1" x14ac:dyDescent="0.25">
      <c r="A817" s="8"/>
    </row>
    <row r="818" spans="1:1" x14ac:dyDescent="0.25">
      <c r="A818" s="8"/>
    </row>
    <row r="819" spans="1:1" x14ac:dyDescent="0.25">
      <c r="A819" s="8"/>
    </row>
    <row r="820" spans="1:1" x14ac:dyDescent="0.25">
      <c r="A820" s="8"/>
    </row>
    <row r="821" spans="1:1" x14ac:dyDescent="0.25">
      <c r="A821" s="8"/>
    </row>
    <row r="822" spans="1:1" x14ac:dyDescent="0.25">
      <c r="A822" s="8"/>
    </row>
    <row r="823" spans="1:1" x14ac:dyDescent="0.25">
      <c r="A823" s="8"/>
    </row>
    <row r="824" spans="1:1" x14ac:dyDescent="0.25">
      <c r="A824" s="8"/>
    </row>
    <row r="825" spans="1:1" x14ac:dyDescent="0.25">
      <c r="A825" s="8"/>
    </row>
    <row r="826" spans="1:1" x14ac:dyDescent="0.25">
      <c r="A826" s="8"/>
    </row>
    <row r="827" spans="1:1" x14ac:dyDescent="0.25">
      <c r="A827" s="8"/>
    </row>
    <row r="828" spans="1:1" x14ac:dyDescent="0.25">
      <c r="A828" s="8"/>
    </row>
    <row r="829" spans="1:1" x14ac:dyDescent="0.25">
      <c r="A829" s="8"/>
    </row>
    <row r="830" spans="1:1" x14ac:dyDescent="0.25">
      <c r="A830" s="8"/>
    </row>
    <row r="831" spans="1:1" x14ac:dyDescent="0.25">
      <c r="A831" s="8"/>
    </row>
    <row r="832" spans="1:1" x14ac:dyDescent="0.25">
      <c r="A832" s="8"/>
    </row>
    <row r="833" spans="1:1" x14ac:dyDescent="0.25">
      <c r="A833" s="8"/>
    </row>
    <row r="834" spans="1:1" x14ac:dyDescent="0.25">
      <c r="A834" s="8"/>
    </row>
    <row r="835" spans="1:1" x14ac:dyDescent="0.25">
      <c r="A835" s="8"/>
    </row>
    <row r="836" spans="1:1" x14ac:dyDescent="0.25">
      <c r="A836" s="8"/>
    </row>
    <row r="837" spans="1:1" x14ac:dyDescent="0.25">
      <c r="A837" s="8"/>
    </row>
    <row r="838" spans="1:1" x14ac:dyDescent="0.25">
      <c r="A838" s="8"/>
    </row>
    <row r="839" spans="1:1" x14ac:dyDescent="0.25">
      <c r="A839" s="8"/>
    </row>
    <row r="840" spans="1:1" x14ac:dyDescent="0.25">
      <c r="A840" s="8"/>
    </row>
    <row r="841" spans="1:1" x14ac:dyDescent="0.25">
      <c r="A841" s="8"/>
    </row>
    <row r="842" spans="1:1" x14ac:dyDescent="0.25">
      <c r="A842" s="8"/>
    </row>
    <row r="843" spans="1:1" x14ac:dyDescent="0.25">
      <c r="A843" s="8"/>
    </row>
    <row r="844" spans="1:1" x14ac:dyDescent="0.25">
      <c r="A844" s="8"/>
    </row>
    <row r="845" spans="1:1" x14ac:dyDescent="0.25">
      <c r="A845" s="8"/>
    </row>
    <row r="846" spans="1:1" x14ac:dyDescent="0.25">
      <c r="A846" s="8"/>
    </row>
    <row r="847" spans="1:1" x14ac:dyDescent="0.25">
      <c r="A847" s="8"/>
    </row>
    <row r="848" spans="1:1" x14ac:dyDescent="0.25">
      <c r="A848" s="8"/>
    </row>
    <row r="849" spans="1:1" x14ac:dyDescent="0.25">
      <c r="A849" s="8"/>
    </row>
    <row r="850" spans="1:1" x14ac:dyDescent="0.25">
      <c r="A850" s="8"/>
    </row>
    <row r="851" spans="1:1" x14ac:dyDescent="0.25">
      <c r="A851" s="8"/>
    </row>
    <row r="852" spans="1:1" x14ac:dyDescent="0.25">
      <c r="A852" s="8"/>
    </row>
    <row r="853" spans="1:1" x14ac:dyDescent="0.25">
      <c r="A853" s="8"/>
    </row>
    <row r="854" spans="1:1" x14ac:dyDescent="0.25">
      <c r="A854" s="8"/>
    </row>
    <row r="855" spans="1:1" x14ac:dyDescent="0.25">
      <c r="A855" s="8"/>
    </row>
    <row r="856" spans="1:1" x14ac:dyDescent="0.25">
      <c r="A856" s="8"/>
    </row>
    <row r="857" spans="1:1" x14ac:dyDescent="0.25">
      <c r="A857" s="8"/>
    </row>
    <row r="858" spans="1:1" x14ac:dyDescent="0.25">
      <c r="A858" s="8"/>
    </row>
    <row r="859" spans="1:1" x14ac:dyDescent="0.25">
      <c r="A859" s="8"/>
    </row>
    <row r="860" spans="1:1" x14ac:dyDescent="0.25">
      <c r="A860" s="8"/>
    </row>
    <row r="861" spans="1:1" x14ac:dyDescent="0.25">
      <c r="A861" s="8"/>
    </row>
    <row r="862" spans="1:1" x14ac:dyDescent="0.25">
      <c r="A862" s="8"/>
    </row>
    <row r="863" spans="1:1" x14ac:dyDescent="0.25">
      <c r="A863" s="8"/>
    </row>
    <row r="864" spans="1:1" x14ac:dyDescent="0.25">
      <c r="A864" s="8"/>
    </row>
    <row r="865" spans="1:1" x14ac:dyDescent="0.25">
      <c r="A865" s="8"/>
    </row>
    <row r="866" spans="1:1" x14ac:dyDescent="0.25">
      <c r="A866" s="8"/>
    </row>
    <row r="867" spans="1:1" x14ac:dyDescent="0.25">
      <c r="A867" s="8"/>
    </row>
    <row r="868" spans="1:1" x14ac:dyDescent="0.25">
      <c r="A868" s="8"/>
    </row>
    <row r="869" spans="1:1" x14ac:dyDescent="0.25">
      <c r="A869" s="8"/>
    </row>
    <row r="870" spans="1:1" x14ac:dyDescent="0.25">
      <c r="A870" s="8"/>
    </row>
    <row r="871" spans="1:1" x14ac:dyDescent="0.25">
      <c r="A871" s="8"/>
    </row>
    <row r="872" spans="1:1" x14ac:dyDescent="0.25">
      <c r="A872" s="8"/>
    </row>
    <row r="873" spans="1:1" x14ac:dyDescent="0.25">
      <c r="A873" s="8"/>
    </row>
    <row r="874" spans="1:1" x14ac:dyDescent="0.25">
      <c r="A874" s="8"/>
    </row>
    <row r="875" spans="1:1" x14ac:dyDescent="0.25">
      <c r="A875" s="8"/>
    </row>
    <row r="876" spans="1:1" x14ac:dyDescent="0.25">
      <c r="A876" s="8"/>
    </row>
    <row r="877" spans="1:1" x14ac:dyDescent="0.25">
      <c r="A877" s="8"/>
    </row>
    <row r="878" spans="1:1" x14ac:dyDescent="0.25">
      <c r="A878" s="8"/>
    </row>
    <row r="879" spans="1:1" x14ac:dyDescent="0.25">
      <c r="A879" s="8"/>
    </row>
    <row r="880" spans="1:1" x14ac:dyDescent="0.25">
      <c r="A880" s="8"/>
    </row>
    <row r="881" spans="1:1" x14ac:dyDescent="0.25">
      <c r="A881" s="8"/>
    </row>
    <row r="882" spans="1:1" x14ac:dyDescent="0.25">
      <c r="A882" s="8"/>
    </row>
    <row r="883" spans="1:1" x14ac:dyDescent="0.25">
      <c r="A883" s="8"/>
    </row>
    <row r="884" spans="1:1" x14ac:dyDescent="0.25">
      <c r="A884" s="8"/>
    </row>
    <row r="885" spans="1:1" x14ac:dyDescent="0.25">
      <c r="A885" s="8"/>
    </row>
    <row r="886" spans="1:1" x14ac:dyDescent="0.25">
      <c r="A886" s="8"/>
    </row>
    <row r="887" spans="1:1" x14ac:dyDescent="0.25">
      <c r="A887" s="8"/>
    </row>
    <row r="888" spans="1:1" x14ac:dyDescent="0.25">
      <c r="A888" s="8"/>
    </row>
    <row r="889" spans="1:1" x14ac:dyDescent="0.25">
      <c r="A889" s="8"/>
    </row>
    <row r="890" spans="1:1" x14ac:dyDescent="0.25">
      <c r="A890" s="8"/>
    </row>
    <row r="891" spans="1:1" x14ac:dyDescent="0.25">
      <c r="A891" s="8"/>
    </row>
    <row r="892" spans="1:1" x14ac:dyDescent="0.25">
      <c r="A892" s="8"/>
    </row>
    <row r="893" spans="1:1" x14ac:dyDescent="0.25">
      <c r="A893" s="8"/>
    </row>
    <row r="894" spans="1:1" x14ac:dyDescent="0.25">
      <c r="A894" s="8"/>
    </row>
    <row r="895" spans="1:1" x14ac:dyDescent="0.25">
      <c r="A895" s="8"/>
    </row>
    <row r="896" spans="1:1" x14ac:dyDescent="0.25">
      <c r="A896" s="8"/>
    </row>
    <row r="897" spans="1:1" x14ac:dyDescent="0.25">
      <c r="A897" s="8"/>
    </row>
    <row r="898" spans="1:1" x14ac:dyDescent="0.25">
      <c r="A898" s="8"/>
    </row>
    <row r="899" spans="1:1" x14ac:dyDescent="0.25">
      <c r="A899" s="8"/>
    </row>
    <row r="900" spans="1:1" x14ac:dyDescent="0.25">
      <c r="A900" s="8"/>
    </row>
    <row r="901" spans="1:1" x14ac:dyDescent="0.25">
      <c r="A901" s="8"/>
    </row>
    <row r="902" spans="1:1" x14ac:dyDescent="0.25">
      <c r="A902" s="8"/>
    </row>
    <row r="903" spans="1:1" x14ac:dyDescent="0.25">
      <c r="A903" s="8"/>
    </row>
    <row r="904" spans="1:1" x14ac:dyDescent="0.25">
      <c r="A904" s="8"/>
    </row>
    <row r="905" spans="1:1" x14ac:dyDescent="0.25">
      <c r="A905" s="8"/>
    </row>
    <row r="906" spans="1:1" x14ac:dyDescent="0.25">
      <c r="A906" s="8"/>
    </row>
    <row r="907" spans="1:1" x14ac:dyDescent="0.25">
      <c r="A907" s="8"/>
    </row>
    <row r="908" spans="1:1" x14ac:dyDescent="0.25">
      <c r="A908" s="8"/>
    </row>
    <row r="909" spans="1:1" x14ac:dyDescent="0.25">
      <c r="A909" s="8"/>
    </row>
    <row r="910" spans="1:1" x14ac:dyDescent="0.25">
      <c r="A910" s="8"/>
    </row>
    <row r="911" spans="1:1" x14ac:dyDescent="0.25">
      <c r="A911" s="8"/>
    </row>
    <row r="912" spans="1:1" x14ac:dyDescent="0.25">
      <c r="A912" s="8"/>
    </row>
    <row r="913" spans="1:1" x14ac:dyDescent="0.25">
      <c r="A913" s="8"/>
    </row>
    <row r="914" spans="1:1" x14ac:dyDescent="0.25">
      <c r="A914" s="8"/>
    </row>
    <row r="915" spans="1:1" x14ac:dyDescent="0.25">
      <c r="A915" s="8"/>
    </row>
    <row r="916" spans="1:1" x14ac:dyDescent="0.25">
      <c r="A916" s="8"/>
    </row>
    <row r="917" spans="1:1" x14ac:dyDescent="0.25">
      <c r="A917" s="8"/>
    </row>
    <row r="918" spans="1:1" x14ac:dyDescent="0.25">
      <c r="A918" s="8"/>
    </row>
    <row r="919" spans="1:1" x14ac:dyDescent="0.25">
      <c r="A919" s="8"/>
    </row>
    <row r="920" spans="1:1" x14ac:dyDescent="0.25">
      <c r="A920" s="8"/>
    </row>
    <row r="921" spans="1:1" x14ac:dyDescent="0.25">
      <c r="A921" s="8"/>
    </row>
    <row r="922" spans="1:1" x14ac:dyDescent="0.25">
      <c r="A922" s="8"/>
    </row>
    <row r="923" spans="1:1" x14ac:dyDescent="0.25">
      <c r="A923" s="8"/>
    </row>
    <row r="924" spans="1:1" x14ac:dyDescent="0.25">
      <c r="A924" s="8"/>
    </row>
    <row r="925" spans="1:1" x14ac:dyDescent="0.25">
      <c r="A925" s="8"/>
    </row>
    <row r="926" spans="1:1" x14ac:dyDescent="0.25">
      <c r="A926" s="8"/>
    </row>
    <row r="927" spans="1:1" x14ac:dyDescent="0.25">
      <c r="A927" s="8"/>
    </row>
    <row r="928" spans="1:1" x14ac:dyDescent="0.25">
      <c r="A928" s="8"/>
    </row>
    <row r="929" spans="1:1" x14ac:dyDescent="0.25">
      <c r="A929" s="8"/>
    </row>
    <row r="930" spans="1:1" x14ac:dyDescent="0.25">
      <c r="A930" s="8"/>
    </row>
    <row r="931" spans="1:1" x14ac:dyDescent="0.25">
      <c r="A931" s="8"/>
    </row>
    <row r="932" spans="1:1" x14ac:dyDescent="0.25">
      <c r="A932" s="8"/>
    </row>
    <row r="933" spans="1:1" x14ac:dyDescent="0.25">
      <c r="A933" s="8"/>
    </row>
    <row r="934" spans="1:1" x14ac:dyDescent="0.25">
      <c r="A934" s="8"/>
    </row>
    <row r="935" spans="1:1" x14ac:dyDescent="0.25">
      <c r="A935" s="8"/>
    </row>
    <row r="936" spans="1:1" x14ac:dyDescent="0.25">
      <c r="A936" s="8"/>
    </row>
    <row r="937" spans="1:1" x14ac:dyDescent="0.25">
      <c r="A937" s="8"/>
    </row>
    <row r="938" spans="1:1" x14ac:dyDescent="0.25">
      <c r="A938" s="8"/>
    </row>
    <row r="939" spans="1:1" x14ac:dyDescent="0.25">
      <c r="A939" s="8"/>
    </row>
    <row r="940" spans="1:1" x14ac:dyDescent="0.25">
      <c r="A940" s="8"/>
    </row>
    <row r="941" spans="1:1" x14ac:dyDescent="0.25">
      <c r="A941" s="8"/>
    </row>
    <row r="942" spans="1:1" x14ac:dyDescent="0.25">
      <c r="A942" s="8"/>
    </row>
    <row r="943" spans="1:1" x14ac:dyDescent="0.25">
      <c r="A943" s="8"/>
    </row>
    <row r="944" spans="1:1" x14ac:dyDescent="0.25">
      <c r="A944" s="8"/>
    </row>
    <row r="945" spans="1:1" x14ac:dyDescent="0.25">
      <c r="A945" s="8"/>
    </row>
    <row r="946" spans="1:1" x14ac:dyDescent="0.25">
      <c r="A946" s="8"/>
    </row>
    <row r="947" spans="1:1" x14ac:dyDescent="0.25">
      <c r="A947" s="8"/>
    </row>
    <row r="948" spans="1:1" x14ac:dyDescent="0.25">
      <c r="A948" s="8"/>
    </row>
    <row r="949" spans="1:1" x14ac:dyDescent="0.25">
      <c r="A949" s="8"/>
    </row>
    <row r="950" spans="1:1" x14ac:dyDescent="0.25">
      <c r="A950" s="8"/>
    </row>
    <row r="951" spans="1:1" x14ac:dyDescent="0.25">
      <c r="A951" s="8"/>
    </row>
    <row r="952" spans="1:1" x14ac:dyDescent="0.25">
      <c r="A952" s="8"/>
    </row>
    <row r="953" spans="1:1" x14ac:dyDescent="0.25">
      <c r="A953" s="8"/>
    </row>
    <row r="954" spans="1:1" x14ac:dyDescent="0.25">
      <c r="A954" s="8"/>
    </row>
    <row r="955" spans="1:1" x14ac:dyDescent="0.25">
      <c r="A955" s="8"/>
    </row>
    <row r="956" spans="1:1" x14ac:dyDescent="0.25">
      <c r="A956" s="8"/>
    </row>
    <row r="957" spans="1:1" x14ac:dyDescent="0.25">
      <c r="A957" s="8"/>
    </row>
    <row r="958" spans="1:1" x14ac:dyDescent="0.25">
      <c r="A958" s="8"/>
    </row>
    <row r="959" spans="1:1" x14ac:dyDescent="0.25">
      <c r="A959" s="8"/>
    </row>
    <row r="960" spans="1:1" x14ac:dyDescent="0.25">
      <c r="A960" s="8"/>
    </row>
    <row r="961" spans="1:1" x14ac:dyDescent="0.25">
      <c r="A961" s="8"/>
    </row>
    <row r="962" spans="1:1" x14ac:dyDescent="0.25">
      <c r="A962" s="8"/>
    </row>
    <row r="963" spans="1:1" x14ac:dyDescent="0.25">
      <c r="A963" s="8"/>
    </row>
    <row r="964" spans="1:1" x14ac:dyDescent="0.25">
      <c r="A964" s="8"/>
    </row>
    <row r="965" spans="1:1" x14ac:dyDescent="0.25">
      <c r="A965" s="8"/>
    </row>
    <row r="966" spans="1:1" x14ac:dyDescent="0.25">
      <c r="A966" s="8"/>
    </row>
    <row r="967" spans="1:1" x14ac:dyDescent="0.25">
      <c r="A967" s="8"/>
    </row>
    <row r="968" spans="1:1" x14ac:dyDescent="0.25">
      <c r="A968" s="8"/>
    </row>
    <row r="969" spans="1:1" x14ac:dyDescent="0.25">
      <c r="A969" s="8"/>
    </row>
    <row r="970" spans="1:1" x14ac:dyDescent="0.25">
      <c r="A970" s="8"/>
    </row>
    <row r="971" spans="1:1" x14ac:dyDescent="0.25">
      <c r="A971" s="8"/>
    </row>
    <row r="972" spans="1:1" x14ac:dyDescent="0.25">
      <c r="A972" s="8"/>
    </row>
    <row r="973" spans="1:1" x14ac:dyDescent="0.25">
      <c r="A973" s="8"/>
    </row>
    <row r="974" spans="1:1" x14ac:dyDescent="0.25">
      <c r="A974" s="8"/>
    </row>
    <row r="975" spans="1:1" x14ac:dyDescent="0.25">
      <c r="A975" s="8"/>
    </row>
    <row r="976" spans="1:1" x14ac:dyDescent="0.25">
      <c r="A976" s="8"/>
    </row>
    <row r="977" spans="1:1" x14ac:dyDescent="0.25">
      <c r="A977" s="8"/>
    </row>
    <row r="978" spans="1:1" x14ac:dyDescent="0.25">
      <c r="A978" s="8"/>
    </row>
    <row r="979" spans="1:1" x14ac:dyDescent="0.25">
      <c r="A979" s="8"/>
    </row>
    <row r="980" spans="1:1" x14ac:dyDescent="0.25">
      <c r="A980" s="8"/>
    </row>
    <row r="981" spans="1:1" x14ac:dyDescent="0.25">
      <c r="A981" s="8"/>
    </row>
    <row r="982" spans="1:1" x14ac:dyDescent="0.25">
      <c r="A982" s="8"/>
    </row>
    <row r="983" spans="1:1" x14ac:dyDescent="0.25">
      <c r="A983" s="8"/>
    </row>
    <row r="984" spans="1:1" x14ac:dyDescent="0.25">
      <c r="A984" s="8"/>
    </row>
    <row r="985" spans="1:1" x14ac:dyDescent="0.25">
      <c r="A985" s="8"/>
    </row>
    <row r="986" spans="1:1" x14ac:dyDescent="0.25">
      <c r="A986" s="8"/>
    </row>
    <row r="987" spans="1:1" x14ac:dyDescent="0.25">
      <c r="A987" s="8"/>
    </row>
    <row r="988" spans="1:1" x14ac:dyDescent="0.25">
      <c r="A988" s="8"/>
    </row>
    <row r="989" spans="1:1" x14ac:dyDescent="0.25">
      <c r="A989" s="8"/>
    </row>
    <row r="990" spans="1:1" x14ac:dyDescent="0.25">
      <c r="A990" s="8"/>
    </row>
    <row r="991" spans="1:1" x14ac:dyDescent="0.25">
      <c r="A991" s="8"/>
    </row>
    <row r="992" spans="1:1" x14ac:dyDescent="0.25">
      <c r="A992" s="8"/>
    </row>
    <row r="993" spans="1:1" x14ac:dyDescent="0.25">
      <c r="A993" s="8"/>
    </row>
    <row r="994" spans="1:1" x14ac:dyDescent="0.25">
      <c r="A994" s="8"/>
    </row>
    <row r="995" spans="1:1" x14ac:dyDescent="0.25">
      <c r="A995" s="8"/>
    </row>
    <row r="996" spans="1:1" x14ac:dyDescent="0.25">
      <c r="A996" s="8"/>
    </row>
    <row r="997" spans="1:1" x14ac:dyDescent="0.25">
      <c r="A997" s="8"/>
    </row>
    <row r="998" spans="1:1" x14ac:dyDescent="0.25">
      <c r="A998" s="8"/>
    </row>
    <row r="999" spans="1:1" x14ac:dyDescent="0.25">
      <c r="A999" s="8"/>
    </row>
    <row r="1000" spans="1:1" x14ac:dyDescent="0.25">
      <c r="A1000" s="8"/>
    </row>
    <row r="1001" spans="1:1" x14ac:dyDescent="0.25">
      <c r="A1001" s="8"/>
    </row>
    <row r="1002" spans="1:1" x14ac:dyDescent="0.25">
      <c r="A1002" s="8"/>
    </row>
    <row r="1003" spans="1:1" x14ac:dyDescent="0.25">
      <c r="A1003" s="8"/>
    </row>
    <row r="1004" spans="1:1" x14ac:dyDescent="0.25">
      <c r="A1004" s="8"/>
    </row>
    <row r="1005" spans="1:1" x14ac:dyDescent="0.25">
      <c r="A1005" s="8"/>
    </row>
    <row r="1006" spans="1:1" x14ac:dyDescent="0.25">
      <c r="A1006" s="8"/>
    </row>
    <row r="1007" spans="1:1" x14ac:dyDescent="0.25">
      <c r="A1007" s="8"/>
    </row>
    <row r="1008" spans="1:1" x14ac:dyDescent="0.25">
      <c r="A1008" s="8"/>
    </row>
    <row r="1009" spans="1:1" x14ac:dyDescent="0.25">
      <c r="A1009" s="8"/>
    </row>
    <row r="1010" spans="1:1" x14ac:dyDescent="0.25">
      <c r="A1010" s="8"/>
    </row>
    <row r="1011" spans="1:1" x14ac:dyDescent="0.25">
      <c r="A1011" s="8"/>
    </row>
    <row r="1012" spans="1:1" x14ac:dyDescent="0.25">
      <c r="A1012" s="8"/>
    </row>
    <row r="1013" spans="1:1" x14ac:dyDescent="0.25">
      <c r="A1013" s="8"/>
    </row>
    <row r="1014" spans="1:1" x14ac:dyDescent="0.25">
      <c r="A1014" s="8"/>
    </row>
    <row r="1015" spans="1:1" x14ac:dyDescent="0.25">
      <c r="A1015" s="8"/>
    </row>
    <row r="1016" spans="1:1" x14ac:dyDescent="0.25">
      <c r="A1016" s="8"/>
    </row>
    <row r="1017" spans="1:1" x14ac:dyDescent="0.25">
      <c r="A1017" s="8"/>
    </row>
    <row r="1018" spans="1:1" x14ac:dyDescent="0.25">
      <c r="A1018" s="8"/>
    </row>
    <row r="1019" spans="1:1" x14ac:dyDescent="0.25">
      <c r="A1019" s="8"/>
    </row>
    <row r="1020" spans="1:1" x14ac:dyDescent="0.25">
      <c r="A1020" s="8"/>
    </row>
    <row r="1021" spans="1:1" x14ac:dyDescent="0.25">
      <c r="A1021" s="8"/>
    </row>
    <row r="1022" spans="1:1" x14ac:dyDescent="0.25">
      <c r="A1022" s="8"/>
    </row>
    <row r="1023" spans="1:1" x14ac:dyDescent="0.25">
      <c r="A1023" s="8"/>
    </row>
    <row r="1024" spans="1:1" x14ac:dyDescent="0.25">
      <c r="A1024" s="8"/>
    </row>
    <row r="1025" spans="1:1" x14ac:dyDescent="0.25">
      <c r="A1025" s="8"/>
    </row>
    <row r="1026" spans="1:1" x14ac:dyDescent="0.25">
      <c r="A1026" s="8"/>
    </row>
    <row r="1027" spans="1:1" x14ac:dyDescent="0.25">
      <c r="A1027" s="8"/>
    </row>
    <row r="1028" spans="1:1" x14ac:dyDescent="0.25">
      <c r="A1028" s="8"/>
    </row>
    <row r="1029" spans="1:1" x14ac:dyDescent="0.25">
      <c r="A1029" s="8"/>
    </row>
    <row r="1030" spans="1:1" x14ac:dyDescent="0.25">
      <c r="A1030" s="8"/>
    </row>
    <row r="1031" spans="1:1" x14ac:dyDescent="0.25">
      <c r="A1031" s="8"/>
    </row>
    <row r="1032" spans="1:1" x14ac:dyDescent="0.25">
      <c r="A1032" s="8"/>
    </row>
    <row r="1033" spans="1:1" x14ac:dyDescent="0.25">
      <c r="A1033" s="8"/>
    </row>
    <row r="1034" spans="1:1" x14ac:dyDescent="0.25">
      <c r="A1034" s="8"/>
    </row>
    <row r="1035" spans="1:1" x14ac:dyDescent="0.25">
      <c r="A1035" s="8"/>
    </row>
    <row r="1036" spans="1:1" x14ac:dyDescent="0.25">
      <c r="A1036" s="8"/>
    </row>
    <row r="1037" spans="1:1" x14ac:dyDescent="0.25">
      <c r="A1037" s="8"/>
    </row>
    <row r="1038" spans="1:1" x14ac:dyDescent="0.25">
      <c r="A1038" s="8"/>
    </row>
    <row r="1039" spans="1:1" x14ac:dyDescent="0.25">
      <c r="A1039" s="8"/>
    </row>
    <row r="1040" spans="1:1" x14ac:dyDescent="0.25">
      <c r="A1040" s="8"/>
    </row>
    <row r="1041" spans="1:1" x14ac:dyDescent="0.25">
      <c r="A1041" s="8"/>
    </row>
    <row r="1042" spans="1:1" x14ac:dyDescent="0.25">
      <c r="A1042" s="8"/>
    </row>
    <row r="1043" spans="1:1" x14ac:dyDescent="0.25">
      <c r="A1043" s="8"/>
    </row>
    <row r="1044" spans="1:1" x14ac:dyDescent="0.25">
      <c r="A1044" s="8"/>
    </row>
    <row r="1045" spans="1:1" x14ac:dyDescent="0.25">
      <c r="A1045" s="8"/>
    </row>
    <row r="1046" spans="1:1" x14ac:dyDescent="0.25">
      <c r="A1046" s="8"/>
    </row>
    <row r="1047" spans="1:1" x14ac:dyDescent="0.25">
      <c r="A1047" s="8"/>
    </row>
    <row r="1048" spans="1:1" x14ac:dyDescent="0.25">
      <c r="A1048" s="8"/>
    </row>
    <row r="1049" spans="1:1" x14ac:dyDescent="0.25">
      <c r="A1049" s="8"/>
    </row>
    <row r="1050" spans="1:1" x14ac:dyDescent="0.25">
      <c r="A1050" s="8"/>
    </row>
    <row r="1051" spans="1:1" x14ac:dyDescent="0.25">
      <c r="A1051" s="8"/>
    </row>
    <row r="1052" spans="1:1" x14ac:dyDescent="0.25">
      <c r="A1052" s="8"/>
    </row>
    <row r="1053" spans="1:1" x14ac:dyDescent="0.25">
      <c r="A1053" s="8"/>
    </row>
    <row r="1054" spans="1:1" x14ac:dyDescent="0.25">
      <c r="A1054" s="8"/>
    </row>
    <row r="1055" spans="1:1" x14ac:dyDescent="0.25">
      <c r="A1055" s="8"/>
    </row>
    <row r="1056" spans="1:1" x14ac:dyDescent="0.25">
      <c r="A1056" s="8"/>
    </row>
    <row r="1057" spans="1:1" x14ac:dyDescent="0.25">
      <c r="A1057" s="8"/>
    </row>
    <row r="1058" spans="1:1" x14ac:dyDescent="0.25">
      <c r="A1058" s="8"/>
    </row>
    <row r="1059" spans="1:1" x14ac:dyDescent="0.25">
      <c r="A1059" s="8"/>
    </row>
    <row r="1060" spans="1:1" x14ac:dyDescent="0.25">
      <c r="A1060" s="8"/>
    </row>
    <row r="1061" spans="1:1" x14ac:dyDescent="0.25">
      <c r="A1061" s="8"/>
    </row>
    <row r="1062" spans="1:1" x14ac:dyDescent="0.25">
      <c r="A1062" s="8"/>
    </row>
    <row r="1063" spans="1:1" x14ac:dyDescent="0.25">
      <c r="A1063" s="8"/>
    </row>
    <row r="1064" spans="1:1" x14ac:dyDescent="0.25">
      <c r="A1064" s="8"/>
    </row>
    <row r="1065" spans="1:1" x14ac:dyDescent="0.25">
      <c r="A1065" s="8"/>
    </row>
    <row r="1066" spans="1:1" x14ac:dyDescent="0.25">
      <c r="A1066" s="8"/>
    </row>
    <row r="1067" spans="1:1" x14ac:dyDescent="0.25">
      <c r="A1067" s="8"/>
    </row>
    <row r="1068" spans="1:1" x14ac:dyDescent="0.25">
      <c r="A1068" s="8"/>
    </row>
    <row r="1069" spans="1:1" x14ac:dyDescent="0.25">
      <c r="A1069" s="8"/>
    </row>
    <row r="1070" spans="1:1" x14ac:dyDescent="0.25">
      <c r="A1070" s="8"/>
    </row>
    <row r="1071" spans="1:1" x14ac:dyDescent="0.25">
      <c r="A1071" s="8"/>
    </row>
    <row r="1072" spans="1:1" x14ac:dyDescent="0.25">
      <c r="A1072" s="8"/>
    </row>
    <row r="1073" spans="1:1" x14ac:dyDescent="0.25">
      <c r="A1073" s="8"/>
    </row>
    <row r="1074" spans="1:1" x14ac:dyDescent="0.25">
      <c r="A1074" s="8"/>
    </row>
    <row r="1075" spans="1:1" x14ac:dyDescent="0.25">
      <c r="A1075" s="8"/>
    </row>
    <row r="1076" spans="1:1" x14ac:dyDescent="0.25">
      <c r="A1076" s="8"/>
    </row>
    <row r="1077" spans="1:1" x14ac:dyDescent="0.25">
      <c r="A1077" s="8"/>
    </row>
    <row r="1078" spans="1:1" x14ac:dyDescent="0.25">
      <c r="A1078" s="8"/>
    </row>
    <row r="1079" spans="1:1" x14ac:dyDescent="0.25">
      <c r="A1079" s="8"/>
    </row>
    <row r="1080" spans="1:1" x14ac:dyDescent="0.25">
      <c r="A1080" s="8"/>
    </row>
    <row r="1081" spans="1:1" x14ac:dyDescent="0.25">
      <c r="A1081" s="8"/>
    </row>
    <row r="1082" spans="1:1" x14ac:dyDescent="0.25">
      <c r="A1082" s="8"/>
    </row>
    <row r="1083" spans="1:1" x14ac:dyDescent="0.25">
      <c r="A1083" s="8"/>
    </row>
    <row r="1084" spans="1:1" x14ac:dyDescent="0.25">
      <c r="A1084" s="8"/>
    </row>
    <row r="1085" spans="1:1" x14ac:dyDescent="0.25">
      <c r="A1085" s="8"/>
    </row>
    <row r="1086" spans="1:1" x14ac:dyDescent="0.25">
      <c r="A1086" s="8"/>
    </row>
    <row r="1087" spans="1:1" x14ac:dyDescent="0.25">
      <c r="A1087" s="8"/>
    </row>
    <row r="1088" spans="1:1" x14ac:dyDescent="0.25">
      <c r="A1088" s="8"/>
    </row>
    <row r="1089" spans="1:1" x14ac:dyDescent="0.25">
      <c r="A1089" s="8"/>
    </row>
    <row r="1090" spans="1:1" x14ac:dyDescent="0.25">
      <c r="A1090" s="8"/>
    </row>
    <row r="1091" spans="1:1" x14ac:dyDescent="0.25">
      <c r="A1091" s="8"/>
    </row>
    <row r="1092" spans="1:1" x14ac:dyDescent="0.25">
      <c r="A1092" s="8"/>
    </row>
    <row r="1093" spans="1:1" x14ac:dyDescent="0.25">
      <c r="A1093" s="8"/>
    </row>
    <row r="1094" spans="1:1" x14ac:dyDescent="0.25">
      <c r="A1094" s="8"/>
    </row>
    <row r="1095" spans="1:1" x14ac:dyDescent="0.25">
      <c r="A1095" s="8"/>
    </row>
    <row r="1096" spans="1:1" x14ac:dyDescent="0.25">
      <c r="A1096" s="8"/>
    </row>
    <row r="1097" spans="1:1" x14ac:dyDescent="0.25">
      <c r="A1097" s="8"/>
    </row>
    <row r="1098" spans="1:1" x14ac:dyDescent="0.25">
      <c r="A1098" s="8"/>
    </row>
    <row r="1099" spans="1:1" x14ac:dyDescent="0.25">
      <c r="A1099" s="8"/>
    </row>
    <row r="1100" spans="1:1" x14ac:dyDescent="0.25">
      <c r="A1100" s="8"/>
    </row>
    <row r="1101" spans="1:1" x14ac:dyDescent="0.25">
      <c r="A1101" s="8"/>
    </row>
    <row r="1102" spans="1:1" x14ac:dyDescent="0.25">
      <c r="A1102" s="8"/>
    </row>
    <row r="1103" spans="1:1" x14ac:dyDescent="0.25">
      <c r="A1103" s="8"/>
    </row>
    <row r="1104" spans="1:1" x14ac:dyDescent="0.25">
      <c r="A1104" s="8"/>
    </row>
    <row r="1105" spans="1:1" x14ac:dyDescent="0.25">
      <c r="A1105" s="8"/>
    </row>
    <row r="1106" spans="1:1" x14ac:dyDescent="0.25">
      <c r="A1106" s="8"/>
    </row>
    <row r="1107" spans="1:1" x14ac:dyDescent="0.25">
      <c r="A1107" s="8"/>
    </row>
    <row r="1108" spans="1:1" x14ac:dyDescent="0.25">
      <c r="A1108" s="8"/>
    </row>
    <row r="1109" spans="1:1" x14ac:dyDescent="0.25">
      <c r="A1109" s="8"/>
    </row>
    <row r="1110" spans="1:1" x14ac:dyDescent="0.25">
      <c r="A1110" s="8"/>
    </row>
    <row r="1111" spans="1:1" x14ac:dyDescent="0.25">
      <c r="A1111" s="8"/>
    </row>
    <row r="1112" spans="1:1" x14ac:dyDescent="0.25">
      <c r="A1112" s="8"/>
    </row>
    <row r="1113" spans="1:1" x14ac:dyDescent="0.25">
      <c r="A1113" s="8"/>
    </row>
    <row r="1114" spans="1:1" x14ac:dyDescent="0.25">
      <c r="A1114" s="8"/>
    </row>
    <row r="1115" spans="1:1" x14ac:dyDescent="0.25">
      <c r="A1115" s="8"/>
    </row>
    <row r="1116" spans="1:1" x14ac:dyDescent="0.25">
      <c r="A1116" s="8"/>
    </row>
    <row r="1117" spans="1:1" x14ac:dyDescent="0.25">
      <c r="A1117" s="8"/>
    </row>
    <row r="1118" spans="1:1" x14ac:dyDescent="0.25">
      <c r="A1118" s="8"/>
    </row>
    <row r="1119" spans="1:1" x14ac:dyDescent="0.25">
      <c r="A1119" s="8"/>
    </row>
    <row r="1120" spans="1:1" x14ac:dyDescent="0.25">
      <c r="A1120" s="8"/>
    </row>
    <row r="1121" spans="1:1" x14ac:dyDescent="0.25">
      <c r="A1121" s="8"/>
    </row>
    <row r="1122" spans="1:1" x14ac:dyDescent="0.25">
      <c r="A1122" s="8"/>
    </row>
    <row r="1123" spans="1:1" x14ac:dyDescent="0.25">
      <c r="A1123" s="8"/>
    </row>
    <row r="1124" spans="1:1" x14ac:dyDescent="0.25">
      <c r="A1124" s="8"/>
    </row>
    <row r="1125" spans="1:1" x14ac:dyDescent="0.25">
      <c r="A1125" s="8"/>
    </row>
    <row r="1126" spans="1:1" x14ac:dyDescent="0.25">
      <c r="A1126" s="8"/>
    </row>
    <row r="1127" spans="1:1" x14ac:dyDescent="0.25">
      <c r="A1127" s="8"/>
    </row>
    <row r="1128" spans="1:1" x14ac:dyDescent="0.25">
      <c r="A1128" s="8"/>
    </row>
    <row r="1129" spans="1:1" x14ac:dyDescent="0.25">
      <c r="A1129" s="8"/>
    </row>
    <row r="1130" spans="1:1" x14ac:dyDescent="0.25">
      <c r="A1130" s="8"/>
    </row>
    <row r="1131" spans="1:1" x14ac:dyDescent="0.25">
      <c r="A1131" s="8"/>
    </row>
    <row r="1132" spans="1:1" x14ac:dyDescent="0.25">
      <c r="A1132" s="8"/>
    </row>
    <row r="1133" spans="1:1" x14ac:dyDescent="0.25">
      <c r="A1133" s="8"/>
    </row>
    <row r="1134" spans="1:1" x14ac:dyDescent="0.25">
      <c r="A1134" s="8"/>
    </row>
    <row r="1135" spans="1:1" x14ac:dyDescent="0.25">
      <c r="A1135" s="8"/>
    </row>
    <row r="1136" spans="1:1" x14ac:dyDescent="0.25">
      <c r="A1136" s="8"/>
    </row>
    <row r="1137" spans="1:1" x14ac:dyDescent="0.25">
      <c r="A1137" s="8"/>
    </row>
    <row r="1138" spans="1:1" x14ac:dyDescent="0.25">
      <c r="A1138" s="8"/>
    </row>
    <row r="1139" spans="1:1" x14ac:dyDescent="0.25">
      <c r="A1139" s="8"/>
    </row>
    <row r="1140" spans="1:1" x14ac:dyDescent="0.25">
      <c r="A1140" s="8"/>
    </row>
    <row r="1141" spans="1:1" x14ac:dyDescent="0.25">
      <c r="A1141" s="8"/>
    </row>
    <row r="1142" spans="1:1" x14ac:dyDescent="0.25">
      <c r="A1142" s="8"/>
    </row>
    <row r="1143" spans="1:1" x14ac:dyDescent="0.25">
      <c r="A1143" s="8"/>
    </row>
    <row r="1144" spans="1:1" x14ac:dyDescent="0.25">
      <c r="A1144" s="8"/>
    </row>
    <row r="1145" spans="1:1" x14ac:dyDescent="0.25">
      <c r="A1145" s="8"/>
    </row>
    <row r="1146" spans="1:1" x14ac:dyDescent="0.25">
      <c r="A1146" s="8"/>
    </row>
    <row r="1147" spans="1:1" x14ac:dyDescent="0.25">
      <c r="A1147" s="8"/>
    </row>
    <row r="1148" spans="1:1" x14ac:dyDescent="0.25">
      <c r="A1148" s="8"/>
    </row>
    <row r="1149" spans="1:1" x14ac:dyDescent="0.25">
      <c r="A1149" s="8"/>
    </row>
    <row r="1150" spans="1:1" x14ac:dyDescent="0.25">
      <c r="A1150" s="8"/>
    </row>
    <row r="1151" spans="1:1" x14ac:dyDescent="0.25">
      <c r="A1151" s="8"/>
    </row>
    <row r="1152" spans="1:1" x14ac:dyDescent="0.25">
      <c r="A1152" s="8"/>
    </row>
    <row r="1153" spans="1:1" x14ac:dyDescent="0.25">
      <c r="A1153" s="8"/>
    </row>
    <row r="1154" spans="1:1" x14ac:dyDescent="0.25">
      <c r="A1154" s="8"/>
    </row>
    <row r="1155" spans="1:1" x14ac:dyDescent="0.25">
      <c r="A1155" s="8"/>
    </row>
    <row r="1156" spans="1:1" x14ac:dyDescent="0.25">
      <c r="A1156" s="8"/>
    </row>
    <row r="1157" spans="1:1" x14ac:dyDescent="0.25">
      <c r="A1157" s="8"/>
    </row>
    <row r="1158" spans="1:1" x14ac:dyDescent="0.25">
      <c r="A1158" s="8"/>
    </row>
    <row r="1159" spans="1:1" x14ac:dyDescent="0.25">
      <c r="A1159" s="8"/>
    </row>
    <row r="1160" spans="1:1" x14ac:dyDescent="0.25">
      <c r="A1160" s="8"/>
    </row>
    <row r="1161" spans="1:1" x14ac:dyDescent="0.25">
      <c r="A1161" s="8"/>
    </row>
    <row r="1162" spans="1:1" x14ac:dyDescent="0.25">
      <c r="A1162" s="8"/>
    </row>
    <row r="1163" spans="1:1" x14ac:dyDescent="0.25">
      <c r="A1163" s="8"/>
    </row>
    <row r="1164" spans="1:1" x14ac:dyDescent="0.25">
      <c r="A1164" s="8"/>
    </row>
    <row r="1165" spans="1:1" x14ac:dyDescent="0.25">
      <c r="A1165" s="8"/>
    </row>
    <row r="1166" spans="1:1" x14ac:dyDescent="0.25">
      <c r="A1166" s="8"/>
    </row>
    <row r="1167" spans="1:1" x14ac:dyDescent="0.25">
      <c r="A1167" s="8"/>
    </row>
    <row r="1168" spans="1:1" x14ac:dyDescent="0.25">
      <c r="A1168" s="8"/>
    </row>
    <row r="1169" spans="1:1" x14ac:dyDescent="0.25">
      <c r="A1169" s="8"/>
    </row>
    <row r="1170" spans="1:1" x14ac:dyDescent="0.25">
      <c r="A1170" s="8"/>
    </row>
    <row r="1171" spans="1:1" x14ac:dyDescent="0.25">
      <c r="A1171" s="8"/>
    </row>
    <row r="1172" spans="1:1" x14ac:dyDescent="0.25">
      <c r="A1172" s="8"/>
    </row>
    <row r="1173" spans="1:1" x14ac:dyDescent="0.25">
      <c r="A1173" s="8"/>
    </row>
    <row r="1174" spans="1:1" x14ac:dyDescent="0.25">
      <c r="A1174" s="8"/>
    </row>
    <row r="1175" spans="1:1" x14ac:dyDescent="0.25">
      <c r="A1175" s="8"/>
    </row>
    <row r="1176" spans="1:1" x14ac:dyDescent="0.25">
      <c r="A1176" s="8"/>
    </row>
    <row r="1177" spans="1:1" x14ac:dyDescent="0.25">
      <c r="A1177" s="8"/>
    </row>
    <row r="1178" spans="1:1" x14ac:dyDescent="0.25">
      <c r="A1178" s="8"/>
    </row>
    <row r="1179" spans="1:1" x14ac:dyDescent="0.25">
      <c r="A1179" s="8"/>
    </row>
    <row r="1180" spans="1:1" x14ac:dyDescent="0.25">
      <c r="A1180" s="8"/>
    </row>
    <row r="1181" spans="1:1" x14ac:dyDescent="0.25">
      <c r="A1181" s="8"/>
    </row>
    <row r="1182" spans="1:1" x14ac:dyDescent="0.25">
      <c r="A1182" s="8"/>
    </row>
    <row r="1183" spans="1:1" x14ac:dyDescent="0.25">
      <c r="A1183" s="8"/>
    </row>
    <row r="1184" spans="1:1" x14ac:dyDescent="0.25">
      <c r="A1184" s="8"/>
    </row>
    <row r="1185" spans="1:1" x14ac:dyDescent="0.25">
      <c r="A1185" s="8"/>
    </row>
    <row r="1186" spans="1:1" x14ac:dyDescent="0.25">
      <c r="A1186" s="8"/>
    </row>
    <row r="1187" spans="1:1" x14ac:dyDescent="0.25">
      <c r="A1187" s="8"/>
    </row>
    <row r="1188" spans="1:1" x14ac:dyDescent="0.25">
      <c r="A1188" s="8"/>
    </row>
    <row r="1189" spans="1:1" x14ac:dyDescent="0.25">
      <c r="A1189" s="8"/>
    </row>
    <row r="1190" spans="1:1" x14ac:dyDescent="0.25">
      <c r="A1190" s="8"/>
    </row>
    <row r="1191" spans="1:1" x14ac:dyDescent="0.25">
      <c r="A1191" s="8"/>
    </row>
    <row r="1192" spans="1:1" x14ac:dyDescent="0.25">
      <c r="A1192" s="8"/>
    </row>
    <row r="1193" spans="1:1" x14ac:dyDescent="0.25">
      <c r="A1193" s="8"/>
    </row>
    <row r="1194" spans="1:1" x14ac:dyDescent="0.25">
      <c r="A1194" s="8"/>
    </row>
    <row r="1195" spans="1:1" x14ac:dyDescent="0.25">
      <c r="A1195" s="8"/>
    </row>
    <row r="1196" spans="1:1" x14ac:dyDescent="0.25">
      <c r="A1196" s="8"/>
    </row>
    <row r="1197" spans="1:1" x14ac:dyDescent="0.25">
      <c r="A1197" s="8"/>
    </row>
    <row r="1198" spans="1:1" x14ac:dyDescent="0.25">
      <c r="A1198" s="8"/>
    </row>
    <row r="1199" spans="1:1" x14ac:dyDescent="0.25">
      <c r="A1199" s="8"/>
    </row>
    <row r="1200" spans="1:1" x14ac:dyDescent="0.25">
      <c r="A1200" s="8"/>
    </row>
    <row r="1201" spans="1:1" x14ac:dyDescent="0.25">
      <c r="A1201" s="8"/>
    </row>
    <row r="1202" spans="1:1" x14ac:dyDescent="0.25">
      <c r="A1202" s="8"/>
    </row>
    <row r="1203" spans="1:1" x14ac:dyDescent="0.25">
      <c r="A1203" s="8"/>
    </row>
    <row r="1204" spans="1:1" x14ac:dyDescent="0.25">
      <c r="A1204" s="8"/>
    </row>
    <row r="1205" spans="1:1" x14ac:dyDescent="0.25">
      <c r="A1205" s="8"/>
    </row>
    <row r="1206" spans="1:1" x14ac:dyDescent="0.25">
      <c r="A1206" s="8"/>
    </row>
    <row r="1207" spans="1:1" x14ac:dyDescent="0.25">
      <c r="A1207" s="8"/>
    </row>
    <row r="1208" spans="1:1" x14ac:dyDescent="0.25">
      <c r="A1208" s="8"/>
    </row>
    <row r="1209" spans="1:1" x14ac:dyDescent="0.25">
      <c r="A1209" s="8"/>
    </row>
    <row r="1210" spans="1:1" x14ac:dyDescent="0.25">
      <c r="A1210" s="8"/>
    </row>
    <row r="1211" spans="1:1" x14ac:dyDescent="0.25">
      <c r="A1211" s="8"/>
    </row>
    <row r="1212" spans="1:1" x14ac:dyDescent="0.25">
      <c r="A1212" s="8"/>
    </row>
    <row r="1213" spans="1:1" x14ac:dyDescent="0.25">
      <c r="A1213" s="8"/>
    </row>
    <row r="1214" spans="1:1" x14ac:dyDescent="0.25">
      <c r="A1214" s="8"/>
    </row>
    <row r="1215" spans="1:1" x14ac:dyDescent="0.25">
      <c r="A1215" s="8"/>
    </row>
    <row r="1216" spans="1:1" x14ac:dyDescent="0.25">
      <c r="A1216" s="8"/>
    </row>
    <row r="1217" spans="1:1" x14ac:dyDescent="0.25">
      <c r="A1217" s="8"/>
    </row>
    <row r="1218" spans="1:1" x14ac:dyDescent="0.25">
      <c r="A1218" s="8"/>
    </row>
    <row r="1219" spans="1:1" x14ac:dyDescent="0.25">
      <c r="A1219" s="8"/>
    </row>
    <row r="1220" spans="1:1" x14ac:dyDescent="0.25">
      <c r="A1220" s="8"/>
    </row>
    <row r="1221" spans="1:1" x14ac:dyDescent="0.25">
      <c r="A1221" s="8"/>
    </row>
    <row r="1222" spans="1:1" x14ac:dyDescent="0.25">
      <c r="A1222" s="8"/>
    </row>
    <row r="1223" spans="1:1" x14ac:dyDescent="0.25">
      <c r="A1223" s="8"/>
    </row>
    <row r="1224" spans="1:1" x14ac:dyDescent="0.25">
      <c r="A1224" s="8"/>
    </row>
    <row r="1225" spans="1:1" x14ac:dyDescent="0.25">
      <c r="A1225" s="8"/>
    </row>
    <row r="1226" spans="1:1" x14ac:dyDescent="0.25">
      <c r="A1226" s="8"/>
    </row>
    <row r="1227" spans="1:1" x14ac:dyDescent="0.25">
      <c r="A1227" s="8"/>
    </row>
    <row r="1228" spans="1:1" x14ac:dyDescent="0.25">
      <c r="A1228" s="8"/>
    </row>
    <row r="1229" spans="1:1" x14ac:dyDescent="0.25">
      <c r="A1229" s="8"/>
    </row>
    <row r="1230" spans="1:1" x14ac:dyDescent="0.25">
      <c r="A1230" s="8"/>
    </row>
    <row r="1231" spans="1:1" x14ac:dyDescent="0.25">
      <c r="A1231" s="8"/>
    </row>
    <row r="1232" spans="1:1" x14ac:dyDescent="0.25">
      <c r="A1232" s="8"/>
    </row>
    <row r="1233" spans="1:1" x14ac:dyDescent="0.25">
      <c r="A1233" s="8"/>
    </row>
    <row r="1234" spans="1:1" x14ac:dyDescent="0.25">
      <c r="A1234" s="8"/>
    </row>
    <row r="1235" spans="1:1" x14ac:dyDescent="0.25">
      <c r="A1235" s="8"/>
    </row>
    <row r="1236" spans="1:1" x14ac:dyDescent="0.25">
      <c r="A1236" s="8"/>
    </row>
    <row r="1237" spans="1:1" x14ac:dyDescent="0.25">
      <c r="A1237" s="8"/>
    </row>
    <row r="1238" spans="1:1" x14ac:dyDescent="0.25">
      <c r="A1238" s="8"/>
    </row>
    <row r="1239" spans="1:1" x14ac:dyDescent="0.25">
      <c r="A1239" s="8"/>
    </row>
    <row r="1240" spans="1:1" x14ac:dyDescent="0.25">
      <c r="A1240" s="8"/>
    </row>
    <row r="1241" spans="1:1" x14ac:dyDescent="0.25">
      <c r="A1241" s="8"/>
    </row>
    <row r="1242" spans="1:1" x14ac:dyDescent="0.25">
      <c r="A1242" s="8"/>
    </row>
    <row r="1243" spans="1:1" x14ac:dyDescent="0.25">
      <c r="A1243" s="8"/>
    </row>
    <row r="1244" spans="1:1" x14ac:dyDescent="0.25">
      <c r="A1244" s="8"/>
    </row>
    <row r="1245" spans="1:1" x14ac:dyDescent="0.25">
      <c r="A1245" s="8"/>
    </row>
    <row r="1246" spans="1:1" x14ac:dyDescent="0.25">
      <c r="A1246" s="8"/>
    </row>
    <row r="1247" spans="1:1" x14ac:dyDescent="0.25">
      <c r="A1247" s="8"/>
    </row>
    <row r="1248" spans="1:1" x14ac:dyDescent="0.25">
      <c r="A1248" s="8"/>
    </row>
    <row r="1249" spans="1:1" x14ac:dyDescent="0.25">
      <c r="A1249" s="8"/>
    </row>
    <row r="1250" spans="1:1" x14ac:dyDescent="0.25">
      <c r="A1250" s="8"/>
    </row>
    <row r="1251" spans="1:1" x14ac:dyDescent="0.25">
      <c r="A1251" s="8"/>
    </row>
    <row r="1252" spans="1:1" x14ac:dyDescent="0.25">
      <c r="A1252" s="8"/>
    </row>
    <row r="1253" spans="1:1" x14ac:dyDescent="0.25">
      <c r="A1253" s="8"/>
    </row>
    <row r="1254" spans="1:1" x14ac:dyDescent="0.25">
      <c r="A1254" s="8"/>
    </row>
    <row r="1255" spans="1:1" x14ac:dyDescent="0.25">
      <c r="A1255" s="8"/>
    </row>
    <row r="1256" spans="1:1" x14ac:dyDescent="0.25">
      <c r="A1256" s="8"/>
    </row>
    <row r="1257" spans="1:1" x14ac:dyDescent="0.25">
      <c r="A1257" s="8"/>
    </row>
    <row r="1258" spans="1:1" x14ac:dyDescent="0.25">
      <c r="A1258" s="8"/>
    </row>
    <row r="1259" spans="1:1" x14ac:dyDescent="0.25">
      <c r="A1259" s="8"/>
    </row>
    <row r="1260" spans="1:1" x14ac:dyDescent="0.25">
      <c r="A1260" s="8"/>
    </row>
    <row r="1261" spans="1:1" x14ac:dyDescent="0.25">
      <c r="A1261" s="8"/>
    </row>
    <row r="1262" spans="1:1" x14ac:dyDescent="0.25">
      <c r="A1262" s="8"/>
    </row>
    <row r="1263" spans="1:1" x14ac:dyDescent="0.25">
      <c r="A1263" s="8"/>
    </row>
    <row r="1264" spans="1:1" x14ac:dyDescent="0.25">
      <c r="A1264" s="8"/>
    </row>
    <row r="1265" spans="1:1" x14ac:dyDescent="0.25">
      <c r="A1265" s="8"/>
    </row>
    <row r="1266" spans="1:1" x14ac:dyDescent="0.25">
      <c r="A1266" s="8"/>
    </row>
    <row r="1267" spans="1:1" x14ac:dyDescent="0.25">
      <c r="A1267" s="8"/>
    </row>
    <row r="1268" spans="1:1" x14ac:dyDescent="0.25">
      <c r="A1268" s="8"/>
    </row>
    <row r="1269" spans="1:1" x14ac:dyDescent="0.25">
      <c r="A1269" s="8"/>
    </row>
    <row r="1270" spans="1:1" x14ac:dyDescent="0.25">
      <c r="A1270" s="8"/>
    </row>
    <row r="1271" spans="1:1" x14ac:dyDescent="0.25">
      <c r="A1271" s="8"/>
    </row>
    <row r="1272" spans="1:1" x14ac:dyDescent="0.25">
      <c r="A1272" s="8"/>
    </row>
    <row r="1273" spans="1:1" x14ac:dyDescent="0.25">
      <c r="A1273" s="8"/>
    </row>
    <row r="1274" spans="1:1" x14ac:dyDescent="0.25">
      <c r="A1274" s="8"/>
    </row>
    <row r="1275" spans="1:1" x14ac:dyDescent="0.25">
      <c r="A1275" s="8"/>
    </row>
    <row r="1276" spans="1:1" x14ac:dyDescent="0.25">
      <c r="A1276" s="8"/>
    </row>
    <row r="1277" spans="1:1" x14ac:dyDescent="0.25">
      <c r="A1277" s="8"/>
    </row>
    <row r="1278" spans="1:1" x14ac:dyDescent="0.25">
      <c r="A1278" s="8"/>
    </row>
    <row r="1279" spans="1:1" x14ac:dyDescent="0.25">
      <c r="A1279" s="8"/>
    </row>
    <row r="1280" spans="1:1" x14ac:dyDescent="0.25">
      <c r="A1280" s="8"/>
    </row>
    <row r="1281" spans="1:1" x14ac:dyDescent="0.25">
      <c r="A1281" s="8"/>
    </row>
    <row r="1282" spans="1:1" x14ac:dyDescent="0.25">
      <c r="A1282" s="8"/>
    </row>
    <row r="1283" spans="1:1" x14ac:dyDescent="0.25">
      <c r="A1283" s="8"/>
    </row>
    <row r="1284" spans="1:1" x14ac:dyDescent="0.25">
      <c r="A1284" s="8"/>
    </row>
    <row r="1285" spans="1:1" x14ac:dyDescent="0.25">
      <c r="A1285" s="8"/>
    </row>
    <row r="1286" spans="1:1" x14ac:dyDescent="0.25">
      <c r="A1286" s="8"/>
    </row>
    <row r="1287" spans="1:1" x14ac:dyDescent="0.25">
      <c r="A1287" s="8"/>
    </row>
    <row r="1288" spans="1:1" x14ac:dyDescent="0.25">
      <c r="A1288" s="8"/>
    </row>
    <row r="1289" spans="1:1" x14ac:dyDescent="0.25">
      <c r="A1289" s="8"/>
    </row>
    <row r="1290" spans="1:1" x14ac:dyDescent="0.25">
      <c r="A1290" s="8"/>
    </row>
    <row r="1291" spans="1:1" x14ac:dyDescent="0.25">
      <c r="A1291" s="8"/>
    </row>
    <row r="1292" spans="1:1" x14ac:dyDescent="0.25">
      <c r="A1292" s="8"/>
    </row>
    <row r="1293" spans="1:1" x14ac:dyDescent="0.25">
      <c r="A1293" s="8"/>
    </row>
    <row r="1294" spans="1:1" x14ac:dyDescent="0.25">
      <c r="A1294" s="8"/>
    </row>
    <row r="1295" spans="1:1" x14ac:dyDescent="0.25">
      <c r="A1295" s="8"/>
    </row>
    <row r="1296" spans="1:1" x14ac:dyDescent="0.25">
      <c r="A1296" s="8"/>
    </row>
    <row r="1297" spans="1:1" x14ac:dyDescent="0.25">
      <c r="A1297" s="8"/>
    </row>
    <row r="1298" spans="1:1" x14ac:dyDescent="0.25">
      <c r="A1298" s="8"/>
    </row>
    <row r="1299" spans="1:1" x14ac:dyDescent="0.25">
      <c r="A1299" s="8"/>
    </row>
    <row r="1300" spans="1:1" x14ac:dyDescent="0.25">
      <c r="A1300" s="8"/>
    </row>
    <row r="1301" spans="1:1" x14ac:dyDescent="0.25">
      <c r="A1301" s="8"/>
    </row>
    <row r="1302" spans="1:1" x14ac:dyDescent="0.25">
      <c r="A1302" s="8"/>
    </row>
    <row r="1303" spans="1:1" x14ac:dyDescent="0.25">
      <c r="A1303" s="8"/>
    </row>
    <row r="1304" spans="1:1" x14ac:dyDescent="0.25">
      <c r="A1304" s="8"/>
    </row>
    <row r="1305" spans="1:1" x14ac:dyDescent="0.25">
      <c r="A1305" s="8"/>
    </row>
    <row r="1306" spans="1:1" x14ac:dyDescent="0.25">
      <c r="A1306" s="8"/>
    </row>
    <row r="1307" spans="1:1" x14ac:dyDescent="0.25">
      <c r="A1307" s="8"/>
    </row>
    <row r="1308" spans="1:1" x14ac:dyDescent="0.25">
      <c r="A1308" s="8"/>
    </row>
    <row r="1309" spans="1:1" x14ac:dyDescent="0.25">
      <c r="A1309" s="8"/>
    </row>
    <row r="1310" spans="1:1" x14ac:dyDescent="0.25">
      <c r="A1310" s="8"/>
    </row>
    <row r="1311" spans="1:1" x14ac:dyDescent="0.25">
      <c r="A1311" s="8"/>
    </row>
    <row r="1312" spans="1:1" x14ac:dyDescent="0.25">
      <c r="A1312" s="8"/>
    </row>
    <row r="1313" spans="1:1" x14ac:dyDescent="0.25">
      <c r="A1313" s="8"/>
    </row>
    <row r="1314" spans="1:1" x14ac:dyDescent="0.25">
      <c r="A1314" s="8"/>
    </row>
    <row r="1315" spans="1:1" x14ac:dyDescent="0.25">
      <c r="A1315" s="8"/>
    </row>
    <row r="1316" spans="1:1" x14ac:dyDescent="0.25">
      <c r="A1316" s="8"/>
    </row>
    <row r="1317" spans="1:1" x14ac:dyDescent="0.25">
      <c r="A1317" s="8"/>
    </row>
    <row r="1318" spans="1:1" x14ac:dyDescent="0.25">
      <c r="A1318" s="8"/>
    </row>
    <row r="1319" spans="1:1" x14ac:dyDescent="0.25">
      <c r="A1319" s="8"/>
    </row>
    <row r="1320" spans="1:1" x14ac:dyDescent="0.25">
      <c r="A1320" s="8"/>
    </row>
    <row r="1321" spans="1:1" x14ac:dyDescent="0.25">
      <c r="A1321" s="8"/>
    </row>
    <row r="1322" spans="1:1" x14ac:dyDescent="0.25">
      <c r="A1322" s="8"/>
    </row>
    <row r="1323" spans="1:1" x14ac:dyDescent="0.25">
      <c r="A1323" s="8"/>
    </row>
    <row r="1324" spans="1:1" x14ac:dyDescent="0.25">
      <c r="A1324" s="8"/>
    </row>
    <row r="1325" spans="1:1" x14ac:dyDescent="0.25">
      <c r="A1325" s="8"/>
    </row>
    <row r="1326" spans="1:1" x14ac:dyDescent="0.25">
      <c r="A1326" s="8"/>
    </row>
    <row r="1327" spans="1:1" x14ac:dyDescent="0.25">
      <c r="A1327" s="8"/>
    </row>
    <row r="1328" spans="1:1" x14ac:dyDescent="0.25">
      <c r="A1328" s="8"/>
    </row>
    <row r="1329" spans="1:1" x14ac:dyDescent="0.25">
      <c r="A1329" s="8"/>
    </row>
    <row r="1330" spans="1:1" x14ac:dyDescent="0.25">
      <c r="A1330" s="8"/>
    </row>
    <row r="1331" spans="1:1" x14ac:dyDescent="0.25">
      <c r="A1331" s="8"/>
    </row>
    <row r="1332" spans="1:1" x14ac:dyDescent="0.25">
      <c r="A1332" s="8"/>
    </row>
    <row r="1333" spans="1:1" x14ac:dyDescent="0.25">
      <c r="A1333" s="8"/>
    </row>
    <row r="1334" spans="1:1" x14ac:dyDescent="0.25">
      <c r="A1334" s="8"/>
    </row>
    <row r="1335" spans="1:1" x14ac:dyDescent="0.25">
      <c r="A1335" s="8"/>
    </row>
    <row r="1336" spans="1:1" x14ac:dyDescent="0.25">
      <c r="A1336" s="8"/>
    </row>
    <row r="1337" spans="1:1" x14ac:dyDescent="0.25">
      <c r="A1337" s="8"/>
    </row>
    <row r="1338" spans="1:1" x14ac:dyDescent="0.25">
      <c r="A1338" s="8"/>
    </row>
    <row r="1339" spans="1:1" x14ac:dyDescent="0.25">
      <c r="A1339" s="8"/>
    </row>
    <row r="1340" spans="1:1" x14ac:dyDescent="0.25">
      <c r="A1340" s="8"/>
    </row>
    <row r="1341" spans="1:1" x14ac:dyDescent="0.25">
      <c r="A1341" s="8"/>
    </row>
    <row r="1342" spans="1:1" x14ac:dyDescent="0.25">
      <c r="A1342" s="8"/>
    </row>
    <row r="1343" spans="1:1" x14ac:dyDescent="0.25">
      <c r="A1343" s="8"/>
    </row>
    <row r="1344" spans="1:1" x14ac:dyDescent="0.25">
      <c r="A1344" s="8"/>
    </row>
    <row r="1345" spans="1:1" x14ac:dyDescent="0.25">
      <c r="A1345" s="8"/>
    </row>
    <row r="1346" spans="1:1" x14ac:dyDescent="0.25">
      <c r="A1346" s="8"/>
    </row>
    <row r="1347" spans="1:1" x14ac:dyDescent="0.25">
      <c r="A1347" s="8"/>
    </row>
    <row r="1348" spans="1:1" x14ac:dyDescent="0.25">
      <c r="A1348" s="8"/>
    </row>
    <row r="1349" spans="1:1" x14ac:dyDescent="0.25">
      <c r="A1349" s="8"/>
    </row>
    <row r="1350" spans="1:1" x14ac:dyDescent="0.25">
      <c r="A1350" s="8"/>
    </row>
    <row r="1351" spans="1:1" x14ac:dyDescent="0.25">
      <c r="A1351" s="8"/>
    </row>
    <row r="1352" spans="1:1" x14ac:dyDescent="0.25">
      <c r="A1352" s="8"/>
    </row>
    <row r="1353" spans="1:1" x14ac:dyDescent="0.25">
      <c r="A1353" s="8"/>
    </row>
    <row r="1354" spans="1:1" x14ac:dyDescent="0.25">
      <c r="A1354" s="8"/>
    </row>
    <row r="1355" spans="1:1" x14ac:dyDescent="0.25">
      <c r="A1355" s="8"/>
    </row>
    <row r="1356" spans="1:1" x14ac:dyDescent="0.25">
      <c r="A1356" s="8"/>
    </row>
    <row r="1357" spans="1:1" x14ac:dyDescent="0.25">
      <c r="A1357" s="8"/>
    </row>
    <row r="1358" spans="1:1" x14ac:dyDescent="0.25">
      <c r="A1358" s="8"/>
    </row>
    <row r="1359" spans="1:1" x14ac:dyDescent="0.25">
      <c r="A1359" s="8"/>
    </row>
    <row r="1360" spans="1:1" x14ac:dyDescent="0.25">
      <c r="A1360" s="8"/>
    </row>
    <row r="1361" spans="1:1" x14ac:dyDescent="0.25">
      <c r="A1361" s="8"/>
    </row>
    <row r="1362" spans="1:1" x14ac:dyDescent="0.25">
      <c r="A1362" s="8"/>
    </row>
    <row r="1363" spans="1:1" x14ac:dyDescent="0.25">
      <c r="A1363" s="8"/>
    </row>
    <row r="1364" spans="1:1" x14ac:dyDescent="0.25">
      <c r="A1364" s="8"/>
    </row>
    <row r="1365" spans="1:1" x14ac:dyDescent="0.25">
      <c r="A1365" s="8"/>
    </row>
    <row r="1366" spans="1:1" x14ac:dyDescent="0.25">
      <c r="A1366" s="8"/>
    </row>
    <row r="1367" spans="1:1" x14ac:dyDescent="0.25">
      <c r="A1367" s="8"/>
    </row>
    <row r="1368" spans="1:1" x14ac:dyDescent="0.25">
      <c r="A1368" s="8"/>
    </row>
    <row r="1369" spans="1:1" x14ac:dyDescent="0.25">
      <c r="A1369" s="8"/>
    </row>
    <row r="1370" spans="1:1" x14ac:dyDescent="0.25">
      <c r="A1370" s="8"/>
    </row>
    <row r="1371" spans="1:1" x14ac:dyDescent="0.25">
      <c r="A1371" s="8"/>
    </row>
    <row r="1372" spans="1:1" x14ac:dyDescent="0.25">
      <c r="A1372" s="8"/>
    </row>
    <row r="1373" spans="1:1" x14ac:dyDescent="0.25">
      <c r="A1373" s="8"/>
    </row>
    <row r="1374" spans="1:1" x14ac:dyDescent="0.25">
      <c r="A1374" s="8"/>
    </row>
    <row r="1375" spans="1:1" x14ac:dyDescent="0.25">
      <c r="A1375" s="8"/>
    </row>
    <row r="1376" spans="1:1" x14ac:dyDescent="0.25">
      <c r="A1376" s="8"/>
    </row>
    <row r="1377" spans="1:1" x14ac:dyDescent="0.25">
      <c r="A1377" s="8"/>
    </row>
    <row r="1378" spans="1:1" x14ac:dyDescent="0.25">
      <c r="A1378" s="8"/>
    </row>
    <row r="1379" spans="1:1" x14ac:dyDescent="0.25">
      <c r="A1379" s="8"/>
    </row>
    <row r="1380" spans="1:1" x14ac:dyDescent="0.25">
      <c r="A1380" s="8"/>
    </row>
    <row r="1381" spans="1:1" x14ac:dyDescent="0.25">
      <c r="A1381" s="8"/>
    </row>
    <row r="1382" spans="1:1" x14ac:dyDescent="0.25">
      <c r="A1382" s="8"/>
    </row>
    <row r="1383" spans="1:1" x14ac:dyDescent="0.25">
      <c r="A1383" s="8"/>
    </row>
    <row r="1384" spans="1:1" x14ac:dyDescent="0.25">
      <c r="A1384" s="8"/>
    </row>
    <row r="1385" spans="1:1" x14ac:dyDescent="0.25">
      <c r="A1385" s="8"/>
    </row>
    <row r="1386" spans="1:1" x14ac:dyDescent="0.25">
      <c r="A1386" s="8"/>
    </row>
    <row r="1387" spans="1:1" x14ac:dyDescent="0.25">
      <c r="A1387" s="8"/>
    </row>
    <row r="1388" spans="1:1" x14ac:dyDescent="0.25">
      <c r="A1388" s="8"/>
    </row>
    <row r="1389" spans="1:1" x14ac:dyDescent="0.25">
      <c r="A1389" s="8"/>
    </row>
    <row r="1390" spans="1:1" x14ac:dyDescent="0.25">
      <c r="A1390" s="8"/>
    </row>
    <row r="1391" spans="1:1" x14ac:dyDescent="0.25">
      <c r="A1391" s="8"/>
    </row>
    <row r="1392" spans="1:1" x14ac:dyDescent="0.25">
      <c r="A1392" s="8"/>
    </row>
    <row r="1393" spans="1:1" x14ac:dyDescent="0.25">
      <c r="A1393" s="8"/>
    </row>
    <row r="1394" spans="1:1" x14ac:dyDescent="0.25">
      <c r="A1394" s="8"/>
    </row>
    <row r="1395" spans="1:1" x14ac:dyDescent="0.25">
      <c r="A1395" s="8"/>
    </row>
    <row r="1396" spans="1:1" x14ac:dyDescent="0.25">
      <c r="A1396" s="8"/>
    </row>
    <row r="1397" spans="1:1" x14ac:dyDescent="0.25">
      <c r="A1397" s="8"/>
    </row>
    <row r="1398" spans="1:1" x14ac:dyDescent="0.25">
      <c r="A1398" s="8"/>
    </row>
    <row r="1399" spans="1:1" x14ac:dyDescent="0.25">
      <c r="A1399" s="8"/>
    </row>
    <row r="1400" spans="1:1" x14ac:dyDescent="0.25">
      <c r="A1400" s="8"/>
    </row>
    <row r="1401" spans="1:1" x14ac:dyDescent="0.25">
      <c r="A1401" s="8"/>
    </row>
    <row r="1402" spans="1:1" x14ac:dyDescent="0.25">
      <c r="A1402" s="8"/>
    </row>
    <row r="1403" spans="1:1" x14ac:dyDescent="0.25">
      <c r="A1403" s="8"/>
    </row>
    <row r="1404" spans="1:1" x14ac:dyDescent="0.25">
      <c r="A1404" s="8"/>
    </row>
    <row r="1405" spans="1:1" x14ac:dyDescent="0.25">
      <c r="A1405" s="8"/>
    </row>
    <row r="1406" spans="1:1" x14ac:dyDescent="0.25">
      <c r="A1406" s="8"/>
    </row>
    <row r="1407" spans="1:1" x14ac:dyDescent="0.25">
      <c r="A1407" s="8"/>
    </row>
    <row r="1408" spans="1:1" x14ac:dyDescent="0.25">
      <c r="A1408" s="8"/>
    </row>
    <row r="1409" spans="1:1" x14ac:dyDescent="0.25">
      <c r="A1409" s="8"/>
    </row>
    <row r="1410" spans="1:1" x14ac:dyDescent="0.25">
      <c r="A1410" s="8"/>
    </row>
    <row r="1411" spans="1:1" x14ac:dyDescent="0.25">
      <c r="A1411" s="8"/>
    </row>
    <row r="1412" spans="1:1" x14ac:dyDescent="0.25">
      <c r="A1412" s="8"/>
    </row>
    <row r="1413" spans="1:1" x14ac:dyDescent="0.25">
      <c r="A1413" s="8"/>
    </row>
    <row r="1414" spans="1:1" x14ac:dyDescent="0.25">
      <c r="A1414" s="8"/>
    </row>
    <row r="1415" spans="1:1" x14ac:dyDescent="0.25">
      <c r="A1415" s="8"/>
    </row>
    <row r="1416" spans="1:1" x14ac:dyDescent="0.25">
      <c r="A1416" s="8"/>
    </row>
    <row r="1417" spans="1:1" x14ac:dyDescent="0.25">
      <c r="A1417" s="8"/>
    </row>
    <row r="1418" spans="1:1" x14ac:dyDescent="0.25">
      <c r="A1418" s="8"/>
    </row>
    <row r="1419" spans="1:1" x14ac:dyDescent="0.25">
      <c r="A1419" s="8"/>
    </row>
    <row r="1420" spans="1:1" x14ac:dyDescent="0.25">
      <c r="A1420" s="8"/>
    </row>
    <row r="1421" spans="1:1" x14ac:dyDescent="0.25">
      <c r="A1421" s="8"/>
    </row>
    <row r="1422" spans="1:1" x14ac:dyDescent="0.25">
      <c r="A1422" s="8"/>
    </row>
    <row r="1423" spans="1:1" x14ac:dyDescent="0.25">
      <c r="A1423" s="8"/>
    </row>
    <row r="1424" spans="1:1" x14ac:dyDescent="0.25">
      <c r="A1424" s="8"/>
    </row>
    <row r="1425" spans="1:1" x14ac:dyDescent="0.25">
      <c r="A1425" s="8"/>
    </row>
    <row r="1426" spans="1:1" x14ac:dyDescent="0.25">
      <c r="A1426" s="8"/>
    </row>
    <row r="1427" spans="1:1" x14ac:dyDescent="0.25">
      <c r="A1427" s="8"/>
    </row>
    <row r="1428" spans="1:1" x14ac:dyDescent="0.25">
      <c r="A1428" s="8"/>
    </row>
    <row r="1429" spans="1:1" x14ac:dyDescent="0.25">
      <c r="A1429" s="8"/>
    </row>
    <row r="1430" spans="1:1" x14ac:dyDescent="0.25">
      <c r="A1430" s="8"/>
    </row>
    <row r="1431" spans="1:1" x14ac:dyDescent="0.25">
      <c r="A1431" s="8"/>
    </row>
    <row r="1432" spans="1:1" x14ac:dyDescent="0.25">
      <c r="A1432" s="8"/>
    </row>
    <row r="1433" spans="1:1" x14ac:dyDescent="0.25">
      <c r="A1433" s="8"/>
    </row>
    <row r="1434" spans="1:1" x14ac:dyDescent="0.25">
      <c r="A1434" s="8"/>
    </row>
    <row r="1435" spans="1:1" x14ac:dyDescent="0.25">
      <c r="A1435" s="8"/>
    </row>
    <row r="1436" spans="1:1" x14ac:dyDescent="0.25">
      <c r="A1436" s="8"/>
    </row>
    <row r="1437" spans="1:1" x14ac:dyDescent="0.25">
      <c r="A1437" s="8"/>
    </row>
    <row r="1438" spans="1:1" x14ac:dyDescent="0.25">
      <c r="A1438" s="8"/>
    </row>
    <row r="1439" spans="1:1" x14ac:dyDescent="0.25">
      <c r="A1439" s="8"/>
    </row>
    <row r="1440" spans="1:1" x14ac:dyDescent="0.25">
      <c r="A1440" s="8"/>
    </row>
    <row r="1441" spans="1:1" x14ac:dyDescent="0.25">
      <c r="A1441" s="8"/>
    </row>
    <row r="1442" spans="1:1" x14ac:dyDescent="0.25">
      <c r="A1442" s="8"/>
    </row>
    <row r="1443" spans="1:1" x14ac:dyDescent="0.25">
      <c r="A1443" s="8"/>
    </row>
    <row r="1444" spans="1:1" x14ac:dyDescent="0.25">
      <c r="A1444" s="8"/>
    </row>
    <row r="1445" spans="1:1" x14ac:dyDescent="0.25">
      <c r="A1445" s="8"/>
    </row>
    <row r="1446" spans="1:1" x14ac:dyDescent="0.25">
      <c r="A1446" s="8"/>
    </row>
    <row r="1447" spans="1:1" x14ac:dyDescent="0.25">
      <c r="A1447" s="8"/>
    </row>
    <row r="1448" spans="1:1" x14ac:dyDescent="0.25">
      <c r="A1448" s="8"/>
    </row>
    <row r="1449" spans="1:1" x14ac:dyDescent="0.25">
      <c r="A1449" s="8"/>
    </row>
    <row r="1450" spans="1:1" x14ac:dyDescent="0.25">
      <c r="A1450" s="8"/>
    </row>
    <row r="1451" spans="1:1" x14ac:dyDescent="0.25">
      <c r="A1451" s="8"/>
    </row>
    <row r="1452" spans="1:1" x14ac:dyDescent="0.25">
      <c r="A1452" s="8"/>
    </row>
    <row r="1453" spans="1:1" x14ac:dyDescent="0.25">
      <c r="A1453" s="8"/>
    </row>
    <row r="1454" spans="1:1" x14ac:dyDescent="0.25">
      <c r="A1454" s="8"/>
    </row>
    <row r="1455" spans="1:1" x14ac:dyDescent="0.25">
      <c r="A1455" s="8"/>
    </row>
    <row r="1456" spans="1:1" x14ac:dyDescent="0.25">
      <c r="A1456" s="8"/>
    </row>
    <row r="1457" spans="1:1" x14ac:dyDescent="0.25">
      <c r="A1457" s="8"/>
    </row>
    <row r="1458" spans="1:1" x14ac:dyDescent="0.25">
      <c r="A1458" s="8"/>
    </row>
    <row r="1459" spans="1:1" x14ac:dyDescent="0.25">
      <c r="A1459" s="8"/>
    </row>
    <row r="1460" spans="1:1" x14ac:dyDescent="0.25">
      <c r="A1460" s="8"/>
    </row>
    <row r="1461" spans="1:1" x14ac:dyDescent="0.25">
      <c r="A1461" s="8"/>
    </row>
    <row r="1462" spans="1:1" x14ac:dyDescent="0.25">
      <c r="A1462" s="8"/>
    </row>
    <row r="1463" spans="1:1" x14ac:dyDescent="0.25">
      <c r="A1463" s="8"/>
    </row>
    <row r="1464" spans="1:1" x14ac:dyDescent="0.25">
      <c r="A1464" s="8"/>
    </row>
    <row r="1465" spans="1:1" x14ac:dyDescent="0.25">
      <c r="A1465" s="8"/>
    </row>
    <row r="1466" spans="1:1" x14ac:dyDescent="0.25">
      <c r="A1466" s="8"/>
    </row>
    <row r="1467" spans="1:1" x14ac:dyDescent="0.25">
      <c r="A1467" s="8"/>
    </row>
    <row r="1468" spans="1:1" x14ac:dyDescent="0.25">
      <c r="A1468" s="8"/>
    </row>
    <row r="1469" spans="1:1" x14ac:dyDescent="0.25">
      <c r="A1469" s="8"/>
    </row>
    <row r="1470" spans="1:1" x14ac:dyDescent="0.25">
      <c r="A1470" s="8"/>
    </row>
    <row r="1471" spans="1:1" x14ac:dyDescent="0.25">
      <c r="A1471" s="8"/>
    </row>
    <row r="1472" spans="1:1" x14ac:dyDescent="0.25">
      <c r="A1472" s="8"/>
    </row>
    <row r="1473" spans="1:1" x14ac:dyDescent="0.25">
      <c r="A1473" s="8"/>
    </row>
    <row r="1474" spans="1:1" x14ac:dyDescent="0.25">
      <c r="A1474" s="8"/>
    </row>
    <row r="1475" spans="1:1" x14ac:dyDescent="0.25">
      <c r="A1475" s="8"/>
    </row>
    <row r="1476" spans="1:1" x14ac:dyDescent="0.25">
      <c r="A1476" s="8"/>
    </row>
    <row r="1477" spans="1:1" x14ac:dyDescent="0.25">
      <c r="A1477" s="8"/>
    </row>
    <row r="1478" spans="1:1" x14ac:dyDescent="0.25">
      <c r="A1478" s="8"/>
    </row>
    <row r="1479" spans="1:1" x14ac:dyDescent="0.25">
      <c r="A1479" s="8"/>
    </row>
    <row r="1480" spans="1:1" x14ac:dyDescent="0.25">
      <c r="A1480" s="8"/>
    </row>
    <row r="1481" spans="1:1" x14ac:dyDescent="0.25">
      <c r="A1481" s="8"/>
    </row>
    <row r="1482" spans="1:1" x14ac:dyDescent="0.25">
      <c r="A1482" s="8"/>
    </row>
    <row r="1483" spans="1:1" x14ac:dyDescent="0.25">
      <c r="A1483" s="8"/>
    </row>
    <row r="1484" spans="1:1" x14ac:dyDescent="0.25">
      <c r="A1484" s="8"/>
    </row>
    <row r="1485" spans="1:1" x14ac:dyDescent="0.25">
      <c r="A1485" s="8"/>
    </row>
    <row r="1486" spans="1:1" x14ac:dyDescent="0.25">
      <c r="A1486" s="8"/>
    </row>
    <row r="1487" spans="1:1" x14ac:dyDescent="0.25">
      <c r="A1487" s="8"/>
    </row>
    <row r="1488" spans="1:1" x14ac:dyDescent="0.25">
      <c r="A1488" s="8"/>
    </row>
    <row r="1489" spans="1:1" x14ac:dyDescent="0.25">
      <c r="A1489" s="8"/>
    </row>
    <row r="1490" spans="1:1" x14ac:dyDescent="0.25">
      <c r="A1490" s="8"/>
    </row>
    <row r="1491" spans="1:1" x14ac:dyDescent="0.25">
      <c r="A1491" s="8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TAR</vt:lpstr>
      <vt:lpstr>Lit Fishing Creek</vt:lpstr>
      <vt:lpstr>RockyM</vt:lpstr>
      <vt:lpstr>Tarboro </vt:lpstr>
      <vt:lpstr>Greenville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yared michael</dc:creator>
  <cp:lastModifiedBy>Yared Gebregziabher</cp:lastModifiedBy>
  <dcterms:created xsi:type="dcterms:W3CDTF">2026-04-15T12:10:02Z</dcterms:created>
  <dcterms:modified xsi:type="dcterms:W3CDTF">2026-07-14T18:28:05Z</dcterms:modified>
</cp:coreProperties>
</file>